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Work Project\Inventor\Component Datasheets\"/>
    </mc:Choice>
  </mc:AlternateContent>
  <xr:revisionPtr revIDLastSave="0" documentId="13_ncr:1_{D5F9A7A5-312A-49F2-9DAF-F27C5089EB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witch Matrix" sheetId="1" r:id="rId1"/>
    <sheet name="Compon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" i="2" l="1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T70" i="1"/>
  <c r="U70" i="1" s="1"/>
  <c r="S70" i="1"/>
  <c r="R70" i="1"/>
  <c r="Q70" i="1"/>
  <c r="P70" i="1"/>
  <c r="N70" i="1"/>
  <c r="O70" i="1" s="1"/>
  <c r="M70" i="1"/>
  <c r="L70" i="1"/>
  <c r="K70" i="1"/>
  <c r="J70" i="1"/>
  <c r="I70" i="1"/>
  <c r="G70" i="1"/>
  <c r="F70" i="1"/>
  <c r="E70" i="1"/>
  <c r="C70" i="1"/>
  <c r="T69" i="1"/>
  <c r="U69" i="1" s="1"/>
  <c r="S69" i="1"/>
  <c r="R69" i="1"/>
  <c r="Q69" i="1"/>
  <c r="P69" i="1"/>
  <c r="N69" i="1"/>
  <c r="O69" i="1" s="1"/>
  <c r="M69" i="1"/>
  <c r="L69" i="1"/>
  <c r="K69" i="1"/>
  <c r="J69" i="1"/>
  <c r="I69" i="1"/>
  <c r="G69" i="1"/>
  <c r="F69" i="1"/>
  <c r="E69" i="1"/>
  <c r="C69" i="1"/>
  <c r="T68" i="1"/>
  <c r="U68" i="1" s="1"/>
  <c r="S68" i="1"/>
  <c r="R68" i="1"/>
  <c r="Q68" i="1"/>
  <c r="P68" i="1"/>
  <c r="N68" i="1"/>
  <c r="O68" i="1" s="1"/>
  <c r="M68" i="1"/>
  <c r="L68" i="1"/>
  <c r="K68" i="1"/>
  <c r="J68" i="1"/>
  <c r="I68" i="1"/>
  <c r="G68" i="1"/>
  <c r="F68" i="1"/>
  <c r="E68" i="1"/>
  <c r="C68" i="1"/>
  <c r="T67" i="1"/>
  <c r="U67" i="1" s="1"/>
  <c r="S67" i="1"/>
  <c r="R67" i="1"/>
  <c r="Q67" i="1"/>
  <c r="P67" i="1"/>
  <c r="N67" i="1"/>
  <c r="O67" i="1" s="1"/>
  <c r="M67" i="1"/>
  <c r="L67" i="1"/>
  <c r="K67" i="1"/>
  <c r="J67" i="1"/>
  <c r="I67" i="1"/>
  <c r="G67" i="1"/>
  <c r="F67" i="1"/>
  <c r="E67" i="1"/>
  <c r="C67" i="1"/>
  <c r="T66" i="1"/>
  <c r="U66" i="1" s="1"/>
  <c r="S66" i="1"/>
  <c r="R66" i="1"/>
  <c r="Q66" i="1"/>
  <c r="P66" i="1"/>
  <c r="N66" i="1"/>
  <c r="O66" i="1" s="1"/>
  <c r="M66" i="1"/>
  <c r="L66" i="1"/>
  <c r="K66" i="1"/>
  <c r="J66" i="1"/>
  <c r="I66" i="1"/>
  <c r="G66" i="1"/>
  <c r="F66" i="1"/>
  <c r="E66" i="1"/>
  <c r="C66" i="1"/>
  <c r="T65" i="1"/>
  <c r="U65" i="1" s="1"/>
  <c r="S65" i="1"/>
  <c r="R65" i="1"/>
  <c r="Q65" i="1"/>
  <c r="P65" i="1"/>
  <c r="N65" i="1"/>
  <c r="O65" i="1" s="1"/>
  <c r="M65" i="1"/>
  <c r="L65" i="1"/>
  <c r="K65" i="1"/>
  <c r="J65" i="1"/>
  <c r="I65" i="1"/>
  <c r="G65" i="1"/>
  <c r="F65" i="1"/>
  <c r="E65" i="1"/>
  <c r="C65" i="1"/>
  <c r="T64" i="1"/>
  <c r="U64" i="1" s="1"/>
  <c r="S64" i="1"/>
  <c r="R64" i="1"/>
  <c r="Q64" i="1"/>
  <c r="P64" i="1"/>
  <c r="N64" i="1"/>
  <c r="O64" i="1" s="1"/>
  <c r="M64" i="1"/>
  <c r="L64" i="1"/>
  <c r="K64" i="1"/>
  <c r="J64" i="1"/>
  <c r="I64" i="1"/>
  <c r="G64" i="1"/>
  <c r="F64" i="1"/>
  <c r="E64" i="1"/>
  <c r="C64" i="1"/>
  <c r="T63" i="1"/>
  <c r="U63" i="1" s="1"/>
  <c r="S63" i="1"/>
  <c r="R63" i="1"/>
  <c r="Q63" i="1"/>
  <c r="P63" i="1"/>
  <c r="N63" i="1"/>
  <c r="O63" i="1" s="1"/>
  <c r="M63" i="1"/>
  <c r="L63" i="1"/>
  <c r="K63" i="1"/>
  <c r="J63" i="1"/>
  <c r="I63" i="1"/>
  <c r="G63" i="1"/>
  <c r="F63" i="1" s="1"/>
  <c r="E63" i="1"/>
  <c r="C63" i="1"/>
  <c r="T62" i="1"/>
  <c r="U62" i="1" s="1"/>
  <c r="S62" i="1"/>
  <c r="R62" i="1"/>
  <c r="Q62" i="1"/>
  <c r="P62" i="1"/>
  <c r="N62" i="1"/>
  <c r="O62" i="1" s="1"/>
  <c r="M62" i="1"/>
  <c r="L62" i="1"/>
  <c r="K62" i="1"/>
  <c r="J62" i="1"/>
  <c r="I62" i="1"/>
  <c r="G62" i="1"/>
  <c r="F62" i="1"/>
  <c r="E62" i="1"/>
  <c r="C62" i="1"/>
  <c r="T61" i="1"/>
  <c r="U61" i="1" s="1"/>
  <c r="S61" i="1"/>
  <c r="R61" i="1"/>
  <c r="Q61" i="1"/>
  <c r="P61" i="1"/>
  <c r="N61" i="1"/>
  <c r="O61" i="1" s="1"/>
  <c r="M61" i="1"/>
  <c r="L61" i="1"/>
  <c r="K61" i="1"/>
  <c r="J61" i="1"/>
  <c r="I61" i="1"/>
  <c r="G61" i="1"/>
  <c r="F61" i="1"/>
  <c r="E61" i="1"/>
  <c r="C61" i="1"/>
  <c r="T60" i="1"/>
  <c r="U60" i="1" s="1"/>
  <c r="S60" i="1"/>
  <c r="R60" i="1"/>
  <c r="Q60" i="1"/>
  <c r="P60" i="1"/>
  <c r="N60" i="1"/>
  <c r="O60" i="1" s="1"/>
  <c r="M60" i="1"/>
  <c r="L60" i="1"/>
  <c r="K60" i="1"/>
  <c r="J60" i="1"/>
  <c r="I60" i="1"/>
  <c r="G60" i="1"/>
  <c r="F60" i="1"/>
  <c r="E60" i="1"/>
  <c r="C60" i="1"/>
  <c r="T59" i="1"/>
  <c r="U59" i="1" s="1"/>
  <c r="S59" i="1"/>
  <c r="R59" i="1"/>
  <c r="Q59" i="1"/>
  <c r="P59" i="1"/>
  <c r="N59" i="1"/>
  <c r="O59" i="1" s="1"/>
  <c r="M59" i="1"/>
  <c r="L59" i="1"/>
  <c r="K59" i="1"/>
  <c r="J59" i="1"/>
  <c r="I59" i="1"/>
  <c r="G59" i="1"/>
  <c r="F59" i="1"/>
  <c r="E59" i="1"/>
  <c r="C59" i="1"/>
  <c r="T58" i="1"/>
  <c r="U58" i="1" s="1"/>
  <c r="S58" i="1"/>
  <c r="R58" i="1"/>
  <c r="Q58" i="1"/>
  <c r="P58" i="1"/>
  <c r="N58" i="1"/>
  <c r="O58" i="1" s="1"/>
  <c r="M58" i="1"/>
  <c r="L58" i="1"/>
  <c r="K58" i="1"/>
  <c r="J58" i="1"/>
  <c r="I58" i="1"/>
  <c r="G58" i="1"/>
  <c r="F58" i="1"/>
  <c r="E58" i="1"/>
  <c r="C58" i="1"/>
  <c r="T57" i="1"/>
  <c r="U57" i="1" s="1"/>
  <c r="S57" i="1"/>
  <c r="R57" i="1"/>
  <c r="Q57" i="1"/>
  <c r="P57" i="1"/>
  <c r="N57" i="1"/>
  <c r="O57" i="1" s="1"/>
  <c r="M57" i="1"/>
  <c r="L57" i="1"/>
  <c r="K57" i="1"/>
  <c r="J57" i="1"/>
  <c r="I57" i="1"/>
  <c r="G57" i="1"/>
  <c r="F57" i="1" s="1"/>
  <c r="E57" i="1"/>
  <c r="C57" i="1"/>
  <c r="T56" i="1"/>
  <c r="U56" i="1" s="1"/>
  <c r="S56" i="1"/>
  <c r="R56" i="1"/>
  <c r="Q56" i="1"/>
  <c r="P56" i="1"/>
  <c r="N56" i="1"/>
  <c r="O56" i="1" s="1"/>
  <c r="M56" i="1"/>
  <c r="L56" i="1"/>
  <c r="K56" i="1"/>
  <c r="J56" i="1"/>
  <c r="I56" i="1"/>
  <c r="G56" i="1"/>
  <c r="F56" i="1"/>
  <c r="E56" i="1"/>
  <c r="C56" i="1"/>
  <c r="T55" i="1"/>
  <c r="U55" i="1" s="1"/>
  <c r="S55" i="1"/>
  <c r="R55" i="1"/>
  <c r="Q55" i="1"/>
  <c r="P55" i="1"/>
  <c r="N55" i="1"/>
  <c r="O55" i="1" s="1"/>
  <c r="M55" i="1"/>
  <c r="L55" i="1"/>
  <c r="K55" i="1"/>
  <c r="J55" i="1"/>
  <c r="I55" i="1"/>
  <c r="G55" i="1"/>
  <c r="F55" i="1"/>
  <c r="E55" i="1"/>
  <c r="C55" i="1"/>
  <c r="T54" i="1"/>
  <c r="U54" i="1" s="1"/>
  <c r="S54" i="1"/>
  <c r="R54" i="1"/>
  <c r="Q54" i="1"/>
  <c r="P54" i="1"/>
  <c r="N54" i="1"/>
  <c r="O54" i="1" s="1"/>
  <c r="M54" i="1"/>
  <c r="L54" i="1"/>
  <c r="K54" i="1"/>
  <c r="J54" i="1"/>
  <c r="I54" i="1"/>
  <c r="G54" i="1"/>
  <c r="F54" i="1"/>
  <c r="E54" i="1"/>
  <c r="C54" i="1"/>
  <c r="T53" i="1"/>
  <c r="U53" i="1" s="1"/>
  <c r="S53" i="1"/>
  <c r="R53" i="1"/>
  <c r="Q53" i="1"/>
  <c r="P53" i="1"/>
  <c r="N53" i="1"/>
  <c r="O53" i="1" s="1"/>
  <c r="M53" i="1"/>
  <c r="L53" i="1"/>
  <c r="K53" i="1"/>
  <c r="J53" i="1"/>
  <c r="I53" i="1"/>
  <c r="G53" i="1"/>
  <c r="F53" i="1"/>
  <c r="E53" i="1"/>
  <c r="C53" i="1"/>
  <c r="T52" i="1"/>
  <c r="U52" i="1" s="1"/>
  <c r="S52" i="1"/>
  <c r="R52" i="1"/>
  <c r="Q52" i="1"/>
  <c r="P52" i="1"/>
  <c r="N52" i="1"/>
  <c r="O52" i="1" s="1"/>
  <c r="M52" i="1"/>
  <c r="L52" i="1"/>
  <c r="K52" i="1"/>
  <c r="J52" i="1"/>
  <c r="I52" i="1"/>
  <c r="G52" i="1"/>
  <c r="F52" i="1" s="1"/>
  <c r="E52" i="1"/>
  <c r="C52" i="1"/>
  <c r="T51" i="1"/>
  <c r="U51" i="1" s="1"/>
  <c r="S51" i="1"/>
  <c r="R51" i="1"/>
  <c r="Q51" i="1"/>
  <c r="P51" i="1"/>
  <c r="N51" i="1"/>
  <c r="O51" i="1" s="1"/>
  <c r="M51" i="1"/>
  <c r="L51" i="1"/>
  <c r="K51" i="1"/>
  <c r="J51" i="1"/>
  <c r="I51" i="1"/>
  <c r="G51" i="1"/>
  <c r="F51" i="1"/>
  <c r="E51" i="1"/>
  <c r="C51" i="1"/>
  <c r="T50" i="1"/>
  <c r="U50" i="1" s="1"/>
  <c r="S50" i="1"/>
  <c r="R50" i="1"/>
  <c r="Q50" i="1"/>
  <c r="P50" i="1"/>
  <c r="N50" i="1"/>
  <c r="O50" i="1" s="1"/>
  <c r="M50" i="1"/>
  <c r="L50" i="1"/>
  <c r="K50" i="1"/>
  <c r="J50" i="1"/>
  <c r="I50" i="1"/>
  <c r="G50" i="1"/>
  <c r="F50" i="1"/>
  <c r="E50" i="1"/>
  <c r="C50" i="1"/>
  <c r="T49" i="1"/>
  <c r="U49" i="1" s="1"/>
  <c r="S49" i="1"/>
  <c r="R49" i="1"/>
  <c r="Q49" i="1"/>
  <c r="P49" i="1"/>
  <c r="N49" i="1"/>
  <c r="O49" i="1" s="1"/>
  <c r="M49" i="1"/>
  <c r="L49" i="1"/>
  <c r="K49" i="1"/>
  <c r="J49" i="1"/>
  <c r="I49" i="1"/>
  <c r="G49" i="1"/>
  <c r="F49" i="1" s="1"/>
  <c r="E49" i="1"/>
  <c r="C49" i="1"/>
  <c r="T48" i="1"/>
  <c r="U48" i="1" s="1"/>
  <c r="S48" i="1"/>
  <c r="R48" i="1"/>
  <c r="Q48" i="1"/>
  <c r="P48" i="1"/>
  <c r="N48" i="1"/>
  <c r="O48" i="1" s="1"/>
  <c r="M48" i="1"/>
  <c r="L48" i="1"/>
  <c r="K48" i="1"/>
  <c r="J48" i="1"/>
  <c r="I48" i="1"/>
  <c r="G48" i="1"/>
  <c r="F48" i="1"/>
  <c r="E48" i="1"/>
  <c r="C48" i="1"/>
  <c r="T47" i="1"/>
  <c r="U47" i="1" s="1"/>
  <c r="S47" i="1"/>
  <c r="R47" i="1"/>
  <c r="Q47" i="1"/>
  <c r="P47" i="1"/>
  <c r="N47" i="1"/>
  <c r="O47" i="1" s="1"/>
  <c r="M47" i="1"/>
  <c r="L47" i="1"/>
  <c r="K47" i="1"/>
  <c r="J47" i="1"/>
  <c r="I47" i="1"/>
  <c r="G47" i="1"/>
  <c r="F47" i="1" s="1"/>
  <c r="E47" i="1"/>
  <c r="C47" i="1"/>
  <c r="T46" i="1"/>
  <c r="U46" i="1" s="1"/>
  <c r="S46" i="1"/>
  <c r="R46" i="1"/>
  <c r="Q46" i="1"/>
  <c r="P46" i="1"/>
  <c r="N46" i="1"/>
  <c r="O46" i="1" s="1"/>
  <c r="M46" i="1"/>
  <c r="L46" i="1"/>
  <c r="K46" i="1"/>
  <c r="J46" i="1"/>
  <c r="I46" i="1"/>
  <c r="G46" i="1"/>
  <c r="F46" i="1" s="1"/>
  <c r="E46" i="1"/>
  <c r="C46" i="1"/>
  <c r="T45" i="1"/>
  <c r="U45" i="1" s="1"/>
  <c r="S45" i="1"/>
  <c r="R45" i="1"/>
  <c r="Q45" i="1"/>
  <c r="P45" i="1"/>
  <c r="N45" i="1"/>
  <c r="O45" i="1" s="1"/>
  <c r="M45" i="1"/>
  <c r="L45" i="1"/>
  <c r="K45" i="1"/>
  <c r="J45" i="1"/>
  <c r="I45" i="1"/>
  <c r="G45" i="1"/>
  <c r="F45" i="1"/>
  <c r="E45" i="1"/>
  <c r="C45" i="1"/>
  <c r="T44" i="1"/>
  <c r="U44" i="1" s="1"/>
  <c r="S44" i="1"/>
  <c r="R44" i="1"/>
  <c r="Q44" i="1"/>
  <c r="P44" i="1"/>
  <c r="N44" i="1"/>
  <c r="O44" i="1" s="1"/>
  <c r="M44" i="1"/>
  <c r="L44" i="1"/>
  <c r="K44" i="1"/>
  <c r="J44" i="1"/>
  <c r="I44" i="1"/>
  <c r="G44" i="1"/>
  <c r="F44" i="1"/>
  <c r="E44" i="1"/>
  <c r="C44" i="1"/>
  <c r="T43" i="1"/>
  <c r="U43" i="1" s="1"/>
  <c r="S43" i="1"/>
  <c r="R43" i="1"/>
  <c r="Q43" i="1"/>
  <c r="P43" i="1"/>
  <c r="N43" i="1"/>
  <c r="O43" i="1" s="1"/>
  <c r="M43" i="1"/>
  <c r="L43" i="1"/>
  <c r="K43" i="1"/>
  <c r="J43" i="1"/>
  <c r="I43" i="1"/>
  <c r="G43" i="1"/>
  <c r="F43" i="1"/>
  <c r="E43" i="1"/>
  <c r="C43" i="1"/>
  <c r="T42" i="1"/>
  <c r="U42" i="1" s="1"/>
  <c r="S42" i="1"/>
  <c r="R42" i="1"/>
  <c r="Q42" i="1"/>
  <c r="P42" i="1"/>
  <c r="N42" i="1"/>
  <c r="O42" i="1" s="1"/>
  <c r="M42" i="1"/>
  <c r="L42" i="1"/>
  <c r="K42" i="1"/>
  <c r="J42" i="1"/>
  <c r="I42" i="1"/>
  <c r="G42" i="1"/>
  <c r="F42" i="1" s="1"/>
  <c r="E42" i="1"/>
  <c r="C42" i="1"/>
  <c r="T41" i="1"/>
  <c r="U41" i="1" s="1"/>
  <c r="S41" i="1"/>
  <c r="R41" i="1"/>
  <c r="Q41" i="1"/>
  <c r="P41" i="1"/>
  <c r="N41" i="1"/>
  <c r="O41" i="1" s="1"/>
  <c r="M41" i="1"/>
  <c r="L41" i="1"/>
  <c r="K41" i="1"/>
  <c r="J41" i="1"/>
  <c r="I41" i="1"/>
  <c r="G41" i="1"/>
  <c r="F41" i="1" s="1"/>
  <c r="E41" i="1"/>
  <c r="C41" i="1"/>
  <c r="T40" i="1"/>
  <c r="U40" i="1" s="1"/>
  <c r="S40" i="1"/>
  <c r="R40" i="1"/>
  <c r="Q40" i="1"/>
  <c r="P40" i="1"/>
  <c r="N40" i="1"/>
  <c r="O40" i="1" s="1"/>
  <c r="M40" i="1"/>
  <c r="L40" i="1"/>
  <c r="K40" i="1"/>
  <c r="J40" i="1"/>
  <c r="I40" i="1"/>
  <c r="G40" i="1"/>
  <c r="F40" i="1"/>
  <c r="E40" i="1"/>
  <c r="C40" i="1"/>
  <c r="T39" i="1"/>
  <c r="U39" i="1" s="1"/>
  <c r="S39" i="1"/>
  <c r="R39" i="1"/>
  <c r="Q39" i="1"/>
  <c r="P39" i="1"/>
  <c r="N39" i="1"/>
  <c r="O39" i="1" s="1"/>
  <c r="M39" i="1"/>
  <c r="L39" i="1"/>
  <c r="K39" i="1"/>
  <c r="J39" i="1"/>
  <c r="I39" i="1"/>
  <c r="G39" i="1"/>
  <c r="F39" i="1"/>
  <c r="E39" i="1"/>
  <c r="C39" i="1"/>
  <c r="T38" i="1"/>
  <c r="U38" i="1" s="1"/>
  <c r="S38" i="1"/>
  <c r="R38" i="1"/>
  <c r="Q38" i="1"/>
  <c r="P38" i="1"/>
  <c r="N38" i="1"/>
  <c r="O38" i="1" s="1"/>
  <c r="M38" i="1"/>
  <c r="L38" i="1"/>
  <c r="K38" i="1"/>
  <c r="J38" i="1"/>
  <c r="I38" i="1"/>
  <c r="G38" i="1"/>
  <c r="F38" i="1"/>
  <c r="E38" i="1"/>
  <c r="C38" i="1"/>
  <c r="T37" i="1"/>
  <c r="U37" i="1" s="1"/>
  <c r="S37" i="1"/>
  <c r="R37" i="1"/>
  <c r="Q37" i="1"/>
  <c r="P37" i="1"/>
  <c r="N37" i="1"/>
  <c r="O37" i="1" s="1"/>
  <c r="M37" i="1"/>
  <c r="L37" i="1"/>
  <c r="K37" i="1"/>
  <c r="J37" i="1"/>
  <c r="I37" i="1"/>
  <c r="G37" i="1"/>
  <c r="F37" i="1"/>
  <c r="E37" i="1"/>
  <c r="C37" i="1"/>
  <c r="T36" i="1"/>
  <c r="U36" i="1" s="1"/>
  <c r="S36" i="1"/>
  <c r="R36" i="1"/>
  <c r="Q36" i="1"/>
  <c r="P36" i="1"/>
  <c r="N36" i="1"/>
  <c r="O36" i="1" s="1"/>
  <c r="M36" i="1"/>
  <c r="L36" i="1"/>
  <c r="K36" i="1"/>
  <c r="J36" i="1"/>
  <c r="I36" i="1"/>
  <c r="G36" i="1"/>
  <c r="F36" i="1"/>
  <c r="E36" i="1"/>
  <c r="C36" i="1"/>
  <c r="T35" i="1"/>
  <c r="U35" i="1" s="1"/>
  <c r="S35" i="1"/>
  <c r="R35" i="1"/>
  <c r="Q35" i="1"/>
  <c r="P35" i="1"/>
  <c r="N35" i="1"/>
  <c r="O35" i="1" s="1"/>
  <c r="M35" i="1"/>
  <c r="L35" i="1"/>
  <c r="K35" i="1"/>
  <c r="J35" i="1"/>
  <c r="I35" i="1"/>
  <c r="G35" i="1"/>
  <c r="F35" i="1" s="1"/>
  <c r="E35" i="1"/>
  <c r="C35" i="1"/>
  <c r="T34" i="1"/>
  <c r="U34" i="1" s="1"/>
  <c r="S34" i="1"/>
  <c r="R34" i="1"/>
  <c r="Q34" i="1"/>
  <c r="P34" i="1"/>
  <c r="N34" i="1"/>
  <c r="O34" i="1" s="1"/>
  <c r="M34" i="1"/>
  <c r="L34" i="1"/>
  <c r="K34" i="1"/>
  <c r="J34" i="1"/>
  <c r="I34" i="1"/>
  <c r="G34" i="1"/>
  <c r="F34" i="1" s="1"/>
  <c r="E34" i="1"/>
  <c r="C34" i="1"/>
  <c r="T33" i="1"/>
  <c r="U33" i="1" s="1"/>
  <c r="S33" i="1"/>
  <c r="R33" i="1"/>
  <c r="Q33" i="1"/>
  <c r="P33" i="1"/>
  <c r="N33" i="1"/>
  <c r="O33" i="1" s="1"/>
  <c r="M33" i="1"/>
  <c r="L33" i="1"/>
  <c r="K33" i="1"/>
  <c r="J33" i="1"/>
  <c r="I33" i="1"/>
  <c r="G33" i="1"/>
  <c r="F33" i="1"/>
  <c r="E33" i="1"/>
  <c r="C33" i="1"/>
  <c r="T32" i="1"/>
  <c r="U32" i="1" s="1"/>
  <c r="S32" i="1"/>
  <c r="R32" i="1"/>
  <c r="Q32" i="1"/>
  <c r="P32" i="1"/>
  <c r="N32" i="1"/>
  <c r="O32" i="1" s="1"/>
  <c r="M32" i="1"/>
  <c r="L32" i="1"/>
  <c r="K32" i="1"/>
  <c r="J32" i="1"/>
  <c r="I32" i="1"/>
  <c r="G32" i="1"/>
  <c r="F32" i="1"/>
  <c r="E32" i="1"/>
  <c r="C32" i="1"/>
  <c r="T31" i="1"/>
  <c r="U31" i="1" s="1"/>
  <c r="S31" i="1"/>
  <c r="R31" i="1"/>
  <c r="Q31" i="1"/>
  <c r="P31" i="1"/>
  <c r="N31" i="1"/>
  <c r="O31" i="1" s="1"/>
  <c r="M31" i="1"/>
  <c r="L31" i="1"/>
  <c r="K31" i="1"/>
  <c r="J31" i="1"/>
  <c r="I31" i="1"/>
  <c r="G31" i="1"/>
  <c r="F31" i="1"/>
  <c r="E31" i="1"/>
  <c r="C31" i="1"/>
  <c r="T30" i="1"/>
  <c r="U30" i="1" s="1"/>
  <c r="S30" i="1"/>
  <c r="R30" i="1"/>
  <c r="Q30" i="1"/>
  <c r="P30" i="1"/>
  <c r="N30" i="1"/>
  <c r="O30" i="1" s="1"/>
  <c r="M30" i="1"/>
  <c r="L30" i="1"/>
  <c r="K30" i="1"/>
  <c r="J30" i="1"/>
  <c r="I30" i="1"/>
  <c r="G30" i="1"/>
  <c r="F30" i="1" s="1"/>
  <c r="E30" i="1"/>
  <c r="C30" i="1"/>
  <c r="T29" i="1"/>
  <c r="U29" i="1" s="1"/>
  <c r="S29" i="1"/>
  <c r="R29" i="1"/>
  <c r="Q29" i="1"/>
  <c r="P29" i="1"/>
  <c r="N29" i="1"/>
  <c r="O29" i="1" s="1"/>
  <c r="M29" i="1"/>
  <c r="L29" i="1"/>
  <c r="K29" i="1"/>
  <c r="J29" i="1"/>
  <c r="I29" i="1"/>
  <c r="G29" i="1"/>
  <c r="F29" i="1"/>
  <c r="E29" i="1"/>
  <c r="C29" i="1"/>
  <c r="T28" i="1"/>
  <c r="U28" i="1" s="1"/>
  <c r="S28" i="1"/>
  <c r="R28" i="1"/>
  <c r="Q28" i="1"/>
  <c r="P28" i="1"/>
  <c r="N28" i="1"/>
  <c r="O28" i="1" s="1"/>
  <c r="M28" i="1"/>
  <c r="L28" i="1"/>
  <c r="K28" i="1"/>
  <c r="J28" i="1"/>
  <c r="I28" i="1"/>
  <c r="G28" i="1"/>
  <c r="F28" i="1" s="1"/>
  <c r="E28" i="1"/>
  <c r="C28" i="1"/>
  <c r="T27" i="1"/>
  <c r="U27" i="1" s="1"/>
  <c r="S27" i="1"/>
  <c r="R27" i="1"/>
  <c r="Q27" i="1"/>
  <c r="P27" i="1"/>
  <c r="N27" i="1"/>
  <c r="O27" i="1" s="1"/>
  <c r="M27" i="1"/>
  <c r="L27" i="1"/>
  <c r="K27" i="1"/>
  <c r="J27" i="1"/>
  <c r="I27" i="1"/>
  <c r="G27" i="1"/>
  <c r="F27" i="1" s="1"/>
  <c r="E27" i="1"/>
  <c r="C27" i="1"/>
  <c r="T26" i="1"/>
  <c r="U26" i="1" s="1"/>
  <c r="S26" i="1"/>
  <c r="R26" i="1"/>
  <c r="Q26" i="1"/>
  <c r="P26" i="1"/>
  <c r="N26" i="1"/>
  <c r="O26" i="1" s="1"/>
  <c r="M26" i="1"/>
  <c r="L26" i="1"/>
  <c r="K26" i="1"/>
  <c r="J26" i="1"/>
  <c r="I26" i="1"/>
  <c r="G26" i="1"/>
  <c r="F26" i="1"/>
  <c r="E26" i="1"/>
  <c r="C26" i="1"/>
  <c r="T25" i="1"/>
  <c r="U25" i="1" s="1"/>
  <c r="S25" i="1"/>
  <c r="R25" i="1"/>
  <c r="Q25" i="1"/>
  <c r="P25" i="1"/>
  <c r="N25" i="1"/>
  <c r="O25" i="1" s="1"/>
  <c r="M25" i="1"/>
  <c r="L25" i="1"/>
  <c r="K25" i="1"/>
  <c r="J25" i="1"/>
  <c r="I25" i="1"/>
  <c r="G25" i="1"/>
  <c r="F25" i="1"/>
  <c r="E25" i="1"/>
  <c r="C25" i="1"/>
  <c r="T24" i="1"/>
  <c r="U24" i="1" s="1"/>
  <c r="S24" i="1"/>
  <c r="R24" i="1"/>
  <c r="Q24" i="1"/>
  <c r="P24" i="1"/>
  <c r="N24" i="1"/>
  <c r="O24" i="1" s="1"/>
  <c r="M24" i="1"/>
  <c r="L24" i="1"/>
  <c r="K24" i="1"/>
  <c r="J24" i="1"/>
  <c r="I24" i="1"/>
  <c r="G24" i="1"/>
  <c r="F24" i="1" s="1"/>
  <c r="E24" i="1"/>
  <c r="C24" i="1"/>
  <c r="T23" i="1"/>
  <c r="U23" i="1" s="1"/>
  <c r="S23" i="1"/>
  <c r="R23" i="1"/>
  <c r="Q23" i="1"/>
  <c r="P23" i="1"/>
  <c r="N23" i="1"/>
  <c r="O23" i="1" s="1"/>
  <c r="M23" i="1"/>
  <c r="L23" i="1"/>
  <c r="K23" i="1"/>
  <c r="J23" i="1"/>
  <c r="I23" i="1"/>
  <c r="G23" i="1"/>
  <c r="F23" i="1" s="1"/>
  <c r="E23" i="1"/>
  <c r="C23" i="1"/>
  <c r="T22" i="1"/>
  <c r="U22" i="1" s="1"/>
  <c r="S22" i="1"/>
  <c r="R22" i="1"/>
  <c r="Q22" i="1"/>
  <c r="P22" i="1"/>
  <c r="N22" i="1"/>
  <c r="O22" i="1" s="1"/>
  <c r="M22" i="1"/>
  <c r="L22" i="1"/>
  <c r="K22" i="1"/>
  <c r="J22" i="1"/>
  <c r="I22" i="1"/>
  <c r="G22" i="1"/>
  <c r="F22" i="1"/>
  <c r="E22" i="1"/>
  <c r="C22" i="1"/>
  <c r="T21" i="1"/>
  <c r="U21" i="1" s="1"/>
  <c r="S21" i="1"/>
  <c r="R21" i="1"/>
  <c r="Q21" i="1"/>
  <c r="P21" i="1"/>
  <c r="N21" i="1"/>
  <c r="O21" i="1" s="1"/>
  <c r="M21" i="1"/>
  <c r="L21" i="1"/>
  <c r="K21" i="1"/>
  <c r="J21" i="1"/>
  <c r="I21" i="1"/>
  <c r="G21" i="1"/>
  <c r="F21" i="1"/>
  <c r="E21" i="1"/>
  <c r="C21" i="1"/>
  <c r="T20" i="1"/>
  <c r="U20" i="1" s="1"/>
  <c r="S20" i="1"/>
  <c r="R20" i="1"/>
  <c r="Q20" i="1"/>
  <c r="P20" i="1"/>
  <c r="N20" i="1"/>
  <c r="O20" i="1" s="1"/>
  <c r="M20" i="1"/>
  <c r="L20" i="1"/>
  <c r="K20" i="1"/>
  <c r="J20" i="1"/>
  <c r="I20" i="1"/>
  <c r="G20" i="1"/>
  <c r="F20" i="1"/>
  <c r="E20" i="1"/>
  <c r="C20" i="1"/>
  <c r="T19" i="1"/>
  <c r="U19" i="1" s="1"/>
  <c r="S19" i="1"/>
  <c r="R19" i="1"/>
  <c r="Q19" i="1"/>
  <c r="P19" i="1"/>
  <c r="N19" i="1"/>
  <c r="O19" i="1" s="1"/>
  <c r="M19" i="1"/>
  <c r="L19" i="1"/>
  <c r="K19" i="1"/>
  <c r="J19" i="1"/>
  <c r="I19" i="1"/>
  <c r="G19" i="1"/>
  <c r="F19" i="1"/>
  <c r="E19" i="1"/>
  <c r="C19" i="1"/>
  <c r="T18" i="1"/>
  <c r="U18" i="1" s="1"/>
  <c r="S18" i="1"/>
  <c r="R18" i="1"/>
  <c r="Q18" i="1"/>
  <c r="P18" i="1"/>
  <c r="N18" i="1"/>
  <c r="O18" i="1" s="1"/>
  <c r="M18" i="1"/>
  <c r="L18" i="1"/>
  <c r="K18" i="1"/>
  <c r="J18" i="1"/>
  <c r="I18" i="1"/>
  <c r="G18" i="1"/>
  <c r="F18" i="1"/>
  <c r="E18" i="1"/>
  <c r="C18" i="1"/>
  <c r="T17" i="1"/>
  <c r="U17" i="1" s="1"/>
  <c r="S17" i="1"/>
  <c r="R17" i="1"/>
  <c r="Q17" i="1"/>
  <c r="P17" i="1"/>
  <c r="N17" i="1"/>
  <c r="O17" i="1" s="1"/>
  <c r="M17" i="1"/>
  <c r="L17" i="1"/>
  <c r="K17" i="1"/>
  <c r="J17" i="1"/>
  <c r="I17" i="1"/>
  <c r="G17" i="1"/>
  <c r="F17" i="1"/>
  <c r="E17" i="1"/>
  <c r="C17" i="1"/>
  <c r="T16" i="1"/>
  <c r="U16" i="1" s="1"/>
  <c r="S16" i="1"/>
  <c r="R16" i="1"/>
  <c r="Q16" i="1"/>
  <c r="P16" i="1"/>
  <c r="N16" i="1"/>
  <c r="O16" i="1" s="1"/>
  <c r="M16" i="1"/>
  <c r="L16" i="1"/>
  <c r="K16" i="1"/>
  <c r="J16" i="1"/>
  <c r="I16" i="1"/>
  <c r="G16" i="1"/>
  <c r="F16" i="1" s="1"/>
  <c r="E16" i="1"/>
  <c r="C16" i="1"/>
  <c r="T15" i="1"/>
  <c r="U15" i="1" s="1"/>
  <c r="S15" i="1"/>
  <c r="R15" i="1"/>
  <c r="Q15" i="1"/>
  <c r="P15" i="1"/>
  <c r="N15" i="1"/>
  <c r="O15" i="1" s="1"/>
  <c r="M15" i="1"/>
  <c r="L15" i="1"/>
  <c r="K15" i="1"/>
  <c r="J15" i="1"/>
  <c r="I15" i="1"/>
  <c r="G15" i="1"/>
  <c r="F15" i="1"/>
  <c r="E15" i="1"/>
  <c r="C15" i="1"/>
  <c r="T14" i="1"/>
  <c r="U14" i="1" s="1"/>
  <c r="S14" i="1"/>
  <c r="R14" i="1"/>
  <c r="Q14" i="1"/>
  <c r="P14" i="1"/>
  <c r="N14" i="1"/>
  <c r="O14" i="1" s="1"/>
  <c r="M14" i="1"/>
  <c r="L14" i="1"/>
  <c r="K14" i="1"/>
  <c r="J14" i="1"/>
  <c r="I14" i="1"/>
  <c r="G14" i="1"/>
  <c r="F14" i="1" s="1"/>
  <c r="E14" i="1"/>
  <c r="C14" i="1"/>
  <c r="T13" i="1"/>
  <c r="U13" i="1" s="1"/>
  <c r="S13" i="1"/>
  <c r="R13" i="1"/>
  <c r="Q13" i="1"/>
  <c r="P13" i="1"/>
  <c r="N13" i="1"/>
  <c r="O13" i="1" s="1"/>
  <c r="M13" i="1"/>
  <c r="L13" i="1"/>
  <c r="K13" i="1"/>
  <c r="J13" i="1"/>
  <c r="I13" i="1"/>
  <c r="C13" i="1"/>
  <c r="E13" i="1" s="1"/>
  <c r="G13" i="1" s="1"/>
  <c r="F13" i="1" s="1"/>
  <c r="T12" i="1"/>
  <c r="U12" i="1" s="1"/>
  <c r="S12" i="1"/>
  <c r="R12" i="1"/>
  <c r="Q12" i="1"/>
  <c r="P12" i="1"/>
  <c r="N12" i="1"/>
  <c r="O12" i="1" s="1"/>
  <c r="M12" i="1"/>
  <c r="L12" i="1"/>
  <c r="K12" i="1"/>
  <c r="J12" i="1"/>
  <c r="I12" i="1"/>
  <c r="C12" i="1"/>
  <c r="E12" i="1" s="1"/>
  <c r="G12" i="1" s="1"/>
  <c r="F12" i="1" s="1"/>
  <c r="T11" i="1"/>
  <c r="U11" i="1" s="1"/>
  <c r="S11" i="1"/>
  <c r="R11" i="1"/>
  <c r="Q11" i="1"/>
  <c r="P11" i="1"/>
  <c r="N11" i="1"/>
  <c r="O11" i="1" s="1"/>
  <c r="M11" i="1"/>
  <c r="L11" i="1"/>
  <c r="K11" i="1"/>
  <c r="J11" i="1"/>
  <c r="I11" i="1"/>
  <c r="C11" i="1"/>
  <c r="E11" i="1" s="1"/>
  <c r="G11" i="1" s="1"/>
  <c r="S4" i="1" l="1"/>
  <c r="R4" i="1"/>
  <c r="Q4" i="1"/>
  <c r="P4" i="1"/>
  <c r="O4" i="1"/>
  <c r="N4" i="1"/>
  <c r="L4" i="1"/>
  <c r="K4" i="1"/>
  <c r="M4" i="1"/>
  <c r="B5" i="1"/>
  <c r="F11" i="1"/>
  <c r="B4" i="1" s="1"/>
  <c r="K5" i="1" l="1"/>
</calcChain>
</file>

<file path=xl/sharedStrings.xml><?xml version="1.0" encoding="utf-8"?>
<sst xmlns="http://schemas.openxmlformats.org/spreadsheetml/2006/main" count="251" uniqueCount="169">
  <si>
    <t>Enclosure 1 heat analysis</t>
  </si>
  <si>
    <t>Sum of max amps per voltage type (from rows 11-70)</t>
  </si>
  <si>
    <t>Enclosure name</t>
  </si>
  <si>
    <t>Switch Matrix</t>
  </si>
  <si>
    <t>CFM</t>
  </si>
  <si>
    <t>Voltage type</t>
  </si>
  <si>
    <t>+3 V</t>
  </si>
  <si>
    <t>+3.3 V</t>
  </si>
  <si>
    <t>+5 V</t>
  </si>
  <si>
    <t>+12 V</t>
  </si>
  <si>
    <t>+15 V</t>
  </si>
  <si>
    <t>+28 V</t>
  </si>
  <si>
    <t>-3 V</t>
  </si>
  <si>
    <t>-3.3 V</t>
  </si>
  <si>
    <t>-5 V</t>
  </si>
  <si>
    <t>Known heat subtotal (W)</t>
  </si>
  <si>
    <t>Sum max A</t>
  </si>
  <si>
    <t>Total status</t>
  </si>
  <si>
    <t>Check (=0)</t>
  </si>
  <si>
    <t>Check = amps on voltage types not listed in row 3. If it is not 0, add that voltage type to row 3.</t>
  </si>
  <si>
    <t>1. Select a component in column A.  2. Enter quantity in B.  3. Review the heat basis in I.</t>
  </si>
  <si>
    <t>Optional: enter actual W/unit in D. Blank uses the catalog; zero is a valid override. Amber = editable.</t>
  </si>
  <si>
    <t>60 rows per enclosure. Duplicate this tab for another enclosure; add a link on Summary if needed.</t>
  </si>
  <si>
    <t>Component / operating case</t>
  </si>
  <si>
    <t>Quantity</t>
  </si>
  <si>
    <t>Catalog W/unit</t>
  </si>
  <si>
    <t>Override W/unit</t>
  </si>
  <si>
    <t>Applied W/unit</t>
  </si>
  <si>
    <t>Total heat W</t>
  </si>
  <si>
    <t>Row status</t>
  </si>
  <si>
    <t>Basis / notes</t>
  </si>
  <si>
    <t>Rail 1 voltage type</t>
  </si>
  <si>
    <t>Rail 1 V min</t>
  </si>
  <si>
    <t>Rail 1 V recommended</t>
  </si>
  <si>
    <t>Rail 1 V max</t>
  </si>
  <si>
    <t>Rail 1 max A/unit</t>
  </si>
  <si>
    <t>Rail 1 max A total</t>
  </si>
  <si>
    <t>Rail 2 voltage type</t>
  </si>
  <si>
    <t>Rail 2 V min</t>
  </si>
  <si>
    <t>Rail 2 V recommended</t>
  </si>
  <si>
    <t>Rail 2 V max</t>
  </si>
  <si>
    <t>Rail 2 max A/unit</t>
  </si>
  <si>
    <t>Rail 2 max A total</t>
  </si>
  <si>
    <t>TTL-1SP8T-183</t>
  </si>
  <si>
    <t>BW-S0.5W2+</t>
  </si>
  <si>
    <t>RFLT8WDC40G</t>
  </si>
  <si>
    <t>Component heat catalog</t>
  </si>
  <si>
    <t>Amber cells are editable. Per-unit heat = DC heat + reference RF input x heat fraction.</t>
  </si>
  <si>
    <t>RF reference powers are examples or rated inputs, NOT verified system operating powers. Review before fan sizing.</t>
  </si>
  <si>
    <t>Add new unique part names in rows 8-107. Enclosure lists and lookups already cover these rows.</t>
  </si>
  <si>
    <t>DC heat W/unit</t>
  </si>
  <si>
    <t>Reference RF W/unit</t>
  </si>
  <si>
    <t>RF heat fraction</t>
  </si>
  <si>
    <t>Heat W/unit</t>
  </si>
  <si>
    <t>Basis / limitations</t>
  </si>
  <si>
    <t>Source</t>
  </si>
  <si>
    <t>Rail 1 max A</t>
  </si>
  <si>
    <t>Rail 2 max A</t>
  </si>
  <si>
    <t>Electrical basis / notes</t>
  </si>
  <si>
    <t>MSP2TA-18-12+ (energized)</t>
  </si>
  <si>
    <t>12 V x 0.430 A; continuously energized. RF default 0 W; add through-path RF and absorbed isolated-port power if significant.</t>
  </si>
  <si>
    <t>MSP2TA-18-12+.pdf, p.2; 0.5 dB maximum through loss</t>
  </si>
  <si>
    <t>12 V +/-0.5 V operating range; 430 mA max coil current (13 VDC absolute max).</t>
  </si>
  <si>
    <t>MSP2TA-18-12+ (de-energized)</t>
  </si>
  <si>
    <t>Coil off. RF default 0 W; add RF loss / internal termination heat as applicable.</t>
  </si>
  <si>
    <t>MSP2TA-18-12+.pdf, p.2</t>
  </si>
  <si>
    <t>Coil off: 0 A.</t>
  </si>
  <si>
    <t>ZFL-1000+</t>
  </si>
  <si>
    <t>15 V x 105 mA DC budget; RF output subtraction neglected.</t>
  </si>
  <si>
    <t>ZFL-1000+.pdf, p.1</t>
  </si>
  <si>
    <t>15 V nominal, 105 mA max. No minimum specified (curves shown at 12-16 V); 17 V is the absolute-maximum rating.</t>
  </si>
  <si>
    <t>ZVA-443X+</t>
  </si>
  <si>
    <t>5 V x 150 mA maximum current; DC heat budget, RF output subtraction neglected.</t>
  </si>
  <si>
    <t>ZVA-443X+.pdf, p.2</t>
  </si>
  <si>
    <t>+5.0 V test condition, 150 mA max. No minimum specified; 6 V is the absolute-maximum rating.</t>
  </si>
  <si>
    <t>ZX76-31A-PNS+</t>
  </si>
  <si>
    <t>Maximum supply voltages/currents; assumes all +24 dBm RF input absorbed at high attenuation. Control-driver heat separate.</t>
  </si>
  <si>
    <t>ZX76-31A-PNS+.pdf, pp.2-3</t>
  </si>
  <si>
    <t>Vdd 3 mA max; Vss 40 uA max. Control current (400 uA max) not included.</t>
  </si>
  <si>
    <t>Nominal +/-5 V x 200/25 mA maximum currents. RF loss and isolated-port dissipation not included.</t>
  </si>
  <si>
    <t>TTL-1SP8T-183.pdf, p.3</t>
  </si>
  <si>
    <t>Control current (100 uA/bit) not included.</t>
  </si>
  <si>
    <t>ANNE-50+</t>
  </si>
  <si>
    <t>Assumes 1 W RF fully absorbed; check temperature derating (0.35 W rating at 100 C).</t>
  </si>
  <si>
    <t>ANNE-50+.pdf, p.1</t>
  </si>
  <si>
    <t>None (passive)</t>
  </si>
  <si>
    <t>No DC supply.</t>
  </si>
  <si>
    <t>ZUDC10-5R23-S+</t>
  </si>
  <si>
    <t>1 W RF example, 0.9 dB mainline loss. Upper estimate: coupled/reflected output is not internal heat.</t>
  </si>
  <si>
    <t>ZUDC10-5R23-S+.pdf, electrical specifications</t>
  </si>
  <si>
    <t>ZVDC-20-0123+</t>
  </si>
  <si>
    <t>1 W RF example, 1.0 dB mainline loss. Upper estimate: coupled/reflected output is not internal heat.</t>
  </si>
  <si>
    <t>ZVDC-20-0123+.pdf, electrical specifications</t>
  </si>
  <si>
    <t>ZFDC-20-5+</t>
  </si>
  <si>
    <t>1 W RF example, mid-band 1.4 dB maximum mainline loss. Check actual band / input power limit. Coupled power included in bound.</t>
  </si>
  <si>
    <t>ZFDC-20-5+.pdf, electrical specifications</t>
  </si>
  <si>
    <t>CS18SR5</t>
  </si>
  <si>
    <t>1 W RF example; both matched outputs; 6.5 dB loss to EACH output. Reflected input included in conservative bound.</t>
  </si>
  <si>
    <t>CS18SR5.pdf, p.1</t>
  </si>
  <si>
    <t>CS0520S</t>
  </si>
  <si>
    <t>1 W RF example; 0.5 dB interpreted as excess loss over ideal split. Confirm manufacturer definition. Matched outputs.</t>
  </si>
  <si>
    <t>CS0520S.pdf, p.1</t>
  </si>
  <si>
    <t>SB-SF50-27+</t>
  </si>
  <si>
    <t>1 W RF example; 0.21 dB maximum at 18-27 GHz. Reflected input included in conservative bound.</t>
  </si>
  <si>
    <t>No SB-SF50-27+ datasheet in the Component Datasheets folder; values unverified.</t>
  </si>
  <si>
    <t>PD-0500-2S (1-250 MHz)</t>
  </si>
  <si>
    <t>8 W rated input, matched loads; 0.4 dB treated as excess loss.</t>
  </si>
  <si>
    <t>PD-0500-2S.pdf, p.1</t>
  </si>
  <si>
    <t>PD-0500-2S (250-500 MHz)</t>
  </si>
  <si>
    <t>8 W rated input, matched loads; 1.0 dB treated as excess loss.</t>
  </si>
  <si>
    <t>PD-E000-2S</t>
  </si>
  <si>
    <t>10 W input example at rated power; matched-load estimate using 0.4 dB excess loss.</t>
  </si>
  <si>
    <t>PD-E000-2S.pdf, p.1</t>
  </si>
  <si>
    <t>PD-F000-2S</t>
  </si>
  <si>
    <t>10 W input example at rated power; matched-load estimate using 0.6 dB excess loss.</t>
  </si>
  <si>
    <t>PD-F000-2S.pdf, p.1</t>
  </si>
  <si>
    <t>PD-S000-2S</t>
  </si>
  <si>
    <t>10 W input example at rated power; matched-load estimate using 1.3 dB excess loss.</t>
  </si>
  <si>
    <t>PD-S000-2S.pdf, p.1</t>
  </si>
  <si>
    <t>PS-D000-2S</t>
  </si>
  <si>
    <t>20 W input example at rated power; matched-load estimate using 0.35 dB excess loss.</t>
  </si>
  <si>
    <t>PS-D000-2S.pdf, p.1</t>
  </si>
  <si>
    <t>TPD00180A8</t>
  </si>
  <si>
    <t>2 W rated forward power, matched loads. Resistive 8-way: 6.0 dB max loss above 18.06 dB split = 24.06 dB to each output.</t>
  </si>
  <si>
    <t>TPD00180A8-DC-18GHz-8-way-power-divider.pdf, p.1</t>
  </si>
  <si>
    <t>ZX10R-2-183-S+</t>
  </si>
  <si>
    <t>0.6 W rated splitter input; 4.5 dB max insertion loss above 3 dB (7.5 dB to each output). Within 0.6 W internal dissipation rating.</t>
  </si>
  <si>
    <t>ZX10R-2-183-S+.pdf, p.2</t>
  </si>
  <si>
    <t>50P-2101</t>
  </si>
  <si>
    <t>+5 V x 2 mA nominal DC; assumes all +24 dBm rated operating RF input absorbed at high attenuation (same basis as ZX76-31A-PNS+).</t>
  </si>
  <si>
    <t>50P-2101.pdf, p.1</t>
  </si>
  <si>
    <t>+5 Vdc at 2 mA nominal; datasheet gives no voltage tolerance or maximum current.</t>
  </si>
  <si>
    <t>2 W rated input; 0.8 dB maximum attenuation dissipated.</t>
  </si>
  <si>
    <t>BW-S0.5W2+.pdf, p.2</t>
  </si>
  <si>
    <t>1 W rated forward power, matched loads; 23 dB max insertion loss to each of 8 outputs.</t>
  </si>
  <si>
    <t>RFLT8WDC40G.pdf, p.1</t>
  </si>
  <si>
    <t>ZX76-24G-30-S+</t>
  </si>
  <si>
    <t>Max supply V x max current; assumes +22 dBm (P1dB min) RF input fully absorbed at high attenuation.</t>
  </si>
  <si>
    <t>ZX76-24G-30-S+_dashboard.pdf, pp.1-2</t>
  </si>
  <si>
    <t>Vdd min is 3.1 V when Vss is supplied externally. Grounding Vss uses the internal negative generator (rail 2 then not needed).</t>
  </si>
  <si>
    <t>ZN2PD-02183-S+</t>
  </si>
  <si>
    <t>10 W rated splitter input, matched loads; 1.0 dB max excess loss over 3 dB split.</t>
  </si>
  <si>
    <t>ZN2PD-02183-S+.pdf, p.2</t>
  </si>
  <si>
    <t>ZN2PD-9G-S+ (1.7-6.8 GHz)</t>
  </si>
  <si>
    <t>30 W rated splitter input, matched loads; 1.2 dB max excess loss. Datasheet requires heat sinking (60 C base plate) at this power.</t>
  </si>
  <si>
    <t>ZN2PD-9G-S+.pdf, p.2</t>
  </si>
  <si>
    <t>ZN2PD-9G-S+ (6.8-9 GHz)</t>
  </si>
  <si>
    <t>20 W rated splitter input, matched loads; 1.4 dB max excess loss.</t>
  </si>
  <si>
    <t>PA-124-D (all cells energized)</t>
  </si>
  <si>
    <t>Worst case: all 4 failsafe 28 V coils energized (28 V x 108 mA x 4). Assumes 2 W rated RF fully absorbed at 15 dB. Coil heat depends on attenuation state.</t>
  </si>
  <si>
    <t>PA-124-D.pdf, p.1</t>
  </si>
  <si>
    <t>108 mA nominal per cell x 4 cells; datasheet gives no voltage tolerance or maximum current.</t>
  </si>
  <si>
    <t>ADP-SMAF-SMAF-F-G</t>
  </si>
  <si>
    <t>Passive SMA female-female flange-mount adapter; heat negligible.</t>
  </si>
  <si>
    <t>ADP-SMAF-SMAF-F-G.pdf, pp.1-2</t>
  </si>
  <si>
    <t>OD3010-05HB fan</t>
  </si>
  <si>
    <t>Rated input power (5 V x 0.28 A). Counts as enclosure heat only if the fan is inside the enclosure.</t>
  </si>
  <si>
    <t>Fan OD3010.pdf, p.1 (tach/alarm/PWM variants identical)</t>
  </si>
  <si>
    <t>Rated current (no separate maximum or start-up current given).</t>
  </si>
  <si>
    <t>OD3010-05MB fan</t>
  </si>
  <si>
    <t>Rated input power (5 V x 0.21 A). Counts as enclosure heat only if the fan is inside the enclosure.</t>
  </si>
  <si>
    <t>OD3010-05LB fan</t>
  </si>
  <si>
    <t>Rated input power (5 V x 0.18 A). Counts as enclosure heat only if the fan is inside the enclosure.</t>
  </si>
  <si>
    <t>OD3010-12HB fan</t>
  </si>
  <si>
    <t>Rated input power (12 V x 0.15 A). Counts as enclosure heat only if the fan is inside the enclosure.</t>
  </si>
  <si>
    <t>OD3010-12MB fan</t>
  </si>
  <si>
    <t>Rated input power (12 V x 0.12 A). Counts as enclosure heat only if the fan is inside the enclosure.</t>
  </si>
  <si>
    <t>OD3010-12LB fan</t>
  </si>
  <si>
    <t>Rated input power (12 V x 0.10 A). Counts as enclosure heat only if the fan is inside the enclosure.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</si>
</sst>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0"/>
  </numFmts>
  <fonts count="5">
    <font>
      <sz val="11"/>
      <name val="Carlito"/>
    </font>
    <font>
      <sz val="11"/>
      <color rgb="FF243347"/>
      <name val="Arial"/>
    </font>
    <font>
      <b/>
      <sz val="16"/>
      <color rgb="FF243C59"/>
      <name val="Arial"/>
    </font>
    <font>
      <b/>
      <sz val="11"/>
      <color rgb="FFFFFFFF"/>
      <name val="Arial"/>
    </font>
    <font>
      <b/>
      <sz val="11"/>
      <color rgb="FF243347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C5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1" fillId="3" borderId="0" xfId="0" applyFont="1" applyFill="1"/>
    <xf numFmtId="164" fontId="1" fillId="3" borderId="0" xfId="0" applyNumberFormat="1" applyFont="1" applyFill="1"/>
    <xf numFmtId="164" fontId="1" fillId="0" borderId="0" xfId="0" applyNumberFormat="1" applyFont="1"/>
    <xf numFmtId="165" fontId="1" fillId="3" borderId="0" xfId="0" applyNumberFormat="1" applyFont="1" applyFill="1"/>
    <xf numFmtId="0" fontId="1" fillId="3" borderId="0" xfId="0" applyFont="1" applyFill="1" applyAlignment="1">
      <alignment wrapText="1"/>
    </xf>
    <xf numFmtId="0" fontId="4" fillId="0" borderId="0" xfId="0" applyFont="1"/>
    <xf numFmtId="164" fontId="4" fillId="0" borderId="0" xfId="0" applyNumberFormat="1" applyFont="1"/>
    <xf numFmtId="1" fontId="1" fillId="3" borderId="0" xfId="0" applyNumberFormat="1" applyFont="1" applyFill="1"/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/>
    </xf>
    <xf numFmtId="2" fontId="1" fillId="0" borderId="0" xfId="0" applyNumberFormat="1" applyFont="1"/>
    <xf numFmtId="166" fontId="1" fillId="0" borderId="0" xfId="0" applyNumberFormat="1" applyFont="1"/>
    <xf numFmtId="2" fontId="1" fillId="3" borderId="0" xfId="0" applyNumberFormat="1" applyFont="1" applyFill="1"/>
    <xf numFmtId="166" fontId="1" fillId="3" borderId="0" xfId="0" applyNumberFormat="1" applyFont="1" applyFill="1"/>
  </cellXfs>
  <cellStyles count="1">
    <cellStyle name="Normal" xfId="0" builtinId="0"/>
  </cellStyles>
  <dxfs count="1">
    <dxf>
      <font>
        <color rgb="FFA52222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C59"/>
  </sheetPr>
  <dimension ref="A1:U70"/>
  <sheetViews>
    <sheetView showGridLines="0" tabSelected="1" workbookViewId="0">
      <pane ySplit="10" topLeftCell="A11" activePane="bottomLeft" state="frozen"/>
      <selection pane="bottomLeft" activeCell="G4" sqref="G4"/>
    </sheetView>
  </sheetViews>
  <sheetFormatPr defaultRowHeight="14"/>
  <cols>
    <col min="1" max="1" width="38" customWidth="1"/>
    <col min="2" max="2" width="20.83203125" bestFit="1" customWidth="1"/>
    <col min="3" max="3" width="15" customWidth="1"/>
    <col min="4" max="4" width="16" customWidth="1"/>
    <col min="5" max="5" width="15" customWidth="1"/>
    <col min="6" max="6" width="16" customWidth="1"/>
    <col min="7" max="7" width="23" customWidth="1"/>
    <col min="8" max="8" width="3" customWidth="1"/>
    <col min="9" max="9" width="65" customWidth="1"/>
    <col min="10" max="21" width="13" customWidth="1"/>
  </cols>
  <sheetData>
    <row r="1" spans="1:21" ht="23.15" customHeight="1">
      <c r="A1" s="1"/>
      <c r="B1" s="1"/>
      <c r="C1" s="1"/>
      <c r="D1" s="1"/>
      <c r="E1" s="1"/>
      <c r="F1" s="1"/>
      <c r="G1" s="1"/>
      <c r="H1" s="1"/>
      <c r="I1" s="1"/>
    </row>
    <row r="2" spans="1:21" ht="23.1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9" t="s">
        <v>1</v>
      </c>
    </row>
    <row r="3" spans="1:21" ht="23.15" customHeight="1">
      <c r="A3" s="1" t="s">
        <v>2</v>
      </c>
      <c r="B3" s="13" t="s">
        <v>3</v>
      </c>
      <c r="C3" s="13"/>
      <c r="D3" s="13" t="s">
        <v>4</v>
      </c>
      <c r="E3" s="1"/>
      <c r="F3" s="1"/>
      <c r="G3" s="1"/>
      <c r="H3" s="1"/>
      <c r="I3" s="1"/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</row>
    <row r="4" spans="1:21" ht="23.15" customHeight="1">
      <c r="A4" s="9" t="s">
        <v>15</v>
      </c>
      <c r="B4" s="10">
        <f>SUM(F11:F70)</f>
        <v>19.371119999999998</v>
      </c>
      <c r="C4" s="1"/>
      <c r="D4" s="1"/>
      <c r="E4" s="1"/>
      <c r="F4" s="1"/>
      <c r="G4" s="1"/>
      <c r="H4" s="1"/>
      <c r="I4" s="1"/>
      <c r="J4" s="9" t="s">
        <v>16</v>
      </c>
      <c r="K4" s="10">
        <f t="shared" ref="K4:S4" si="0">SUMIF($J$11:$J$70,K$3,$O$11:$O$70)+SUMIF($P$11:$P$70,K$3,$U$11:$U$70)</f>
        <v>0</v>
      </c>
      <c r="L4" s="10">
        <f t="shared" si="0"/>
        <v>0</v>
      </c>
      <c r="M4" s="10">
        <f t="shared" si="0"/>
        <v>1.6</v>
      </c>
      <c r="N4" s="10">
        <f t="shared" si="0"/>
        <v>0</v>
      </c>
      <c r="O4" s="10">
        <f t="shared" si="0"/>
        <v>0</v>
      </c>
      <c r="P4" s="10">
        <f t="shared" si="0"/>
        <v>0</v>
      </c>
      <c r="Q4" s="10">
        <f t="shared" si="0"/>
        <v>0</v>
      </c>
      <c r="R4" s="10">
        <f t="shared" si="0"/>
        <v>0</v>
      </c>
      <c r="S4" s="10">
        <f t="shared" si="0"/>
        <v>0.2</v>
      </c>
    </row>
    <row r="5" spans="1:21" ht="23.15" customHeight="1">
      <c r="A5" s="1" t="s">
        <v>17</v>
      </c>
      <c r="B5" s="1" t="str">
        <f>IF(COUNTA(A11:A70)=0,"No components",IF(COUNTIF(G11:G70,"Needs*")+COUNTIF(G11:G70,"Invalid*")&gt;0,"Incomplete","Calculated; review basis"))</f>
        <v>Calculated; review basis</v>
      </c>
      <c r="C5" s="1"/>
      <c r="D5" s="1"/>
      <c r="E5" s="1"/>
      <c r="F5" s="1"/>
      <c r="G5" s="1"/>
      <c r="H5" s="1"/>
      <c r="I5" s="1"/>
      <c r="J5" t="s">
        <v>18</v>
      </c>
      <c r="K5" s="6">
        <f>SUM($O$11:$O$70)+SUM($U$11:$U$70)-SUM($K$4:$S$4)</f>
        <v>0</v>
      </c>
    </row>
    <row r="6" spans="1:21" ht="23.15" customHeight="1">
      <c r="A6" s="1"/>
      <c r="B6" s="1"/>
      <c r="C6" s="1"/>
      <c r="D6" s="1"/>
      <c r="E6" s="1"/>
      <c r="F6" s="1"/>
      <c r="G6" s="1"/>
      <c r="H6" s="1"/>
      <c r="I6" s="1"/>
      <c r="J6" t="s">
        <v>19</v>
      </c>
    </row>
    <row r="7" spans="1:21" ht="23.15" customHeight="1">
      <c r="A7" s="1" t="s">
        <v>20</v>
      </c>
      <c r="B7" s="1"/>
      <c r="C7" s="1"/>
      <c r="D7" s="1"/>
      <c r="E7" s="1"/>
      <c r="F7" s="1"/>
      <c r="G7" s="1"/>
      <c r="H7" s="1"/>
      <c r="I7" s="1"/>
    </row>
    <row r="8" spans="1:21" ht="23.15" customHeight="1">
      <c r="A8" s="1" t="s">
        <v>21</v>
      </c>
      <c r="B8" s="1"/>
      <c r="C8" s="1"/>
      <c r="D8" s="1"/>
      <c r="E8" s="1"/>
      <c r="F8" s="1"/>
      <c r="G8" s="1"/>
      <c r="H8" s="1"/>
      <c r="I8" s="1"/>
    </row>
    <row r="9" spans="1:21" ht="23.15" customHeight="1">
      <c r="A9" s="1" t="s">
        <v>22</v>
      </c>
      <c r="B9" s="1"/>
      <c r="C9" s="1"/>
      <c r="D9" s="1"/>
      <c r="E9" s="1"/>
      <c r="F9" s="1"/>
      <c r="G9" s="1"/>
      <c r="H9" s="1"/>
      <c r="I9" s="1"/>
    </row>
    <row r="10" spans="1:21" ht="34" customHeight="1">
      <c r="A10" s="3" t="s">
        <v>23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G10" s="3" t="s">
        <v>29</v>
      </c>
      <c r="H10" s="1"/>
      <c r="I10" s="3" t="s">
        <v>30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35</v>
      </c>
      <c r="O10" s="3" t="s">
        <v>36</v>
      </c>
      <c r="P10" s="3" t="s">
        <v>37</v>
      </c>
      <c r="Q10" s="3" t="s">
        <v>38</v>
      </c>
      <c r="R10" s="3" t="s">
        <v>39</v>
      </c>
      <c r="S10" s="3" t="s">
        <v>40</v>
      </c>
      <c r="T10" s="3" t="s">
        <v>41</v>
      </c>
      <c r="U10" s="3" t="s">
        <v>42</v>
      </c>
    </row>
    <row r="11" spans="1:21" ht="48" customHeight="1">
      <c r="A11" s="4" t="s">
        <v>43</v>
      </c>
      <c r="B11" s="11">
        <v>8</v>
      </c>
      <c r="C11" s="6">
        <f>IF(A11="","",IF(COUNTIF(Components!$A$8:$A$107,A11)&lt;&gt;1,"Pending",VLOOKUP(A11,Components!$A$8:$F$107,5,FALSE)))</f>
        <v>1.125</v>
      </c>
      <c r="D11" s="5"/>
      <c r="E11" s="6">
        <f t="shared" ref="E11:E42" si="1">IF(A11="","",IF(ISBLANK(D11),C11,IF(AND(ISNUMBER(D11),D11&gt;=0),D11,"Pending")))</f>
        <v>1.125</v>
      </c>
      <c r="F11" s="6">
        <f t="shared" ref="F11:F42" si="2">IF(OR(G11="Catalog basis",G11="Override used"),B11*E11,"")</f>
        <v>9</v>
      </c>
      <c r="G11" s="1" t="str">
        <f>IF(A11="",IF(OR(NOT(ISBLANK(B11)),NOT(ISBLANK(D11))),"Needs component",""),IF(COUNTIF(Components!$A$8:$A$107,A11)&lt;&gt;1,"Invalid component",IF(ISBLANK(B11),"Needs quantity",IF(NOT(ISNUMBER(B11)),"Invalid quantity",IF(OR(B11&lt;0,B11&lt;&gt;INT(B11)),"Invalid quantity",IF(NOT(ISNUMBER(E11)),"Needs heat input",IF(NOT(ISBLANK(D11)),"Override used","Catalog basis")))))))</f>
        <v>Catalog basis</v>
      </c>
      <c r="H11" s="1"/>
      <c r="I11" s="12" t="str">
        <f>IF(A11="","",IF(COUNTIF(Components!$A$8:$A$107,A11)&lt;&gt;1,"Select a unique catalog component",VLOOKUP(A11,Components!$A$8:$F$107,6,FALSE)))</f>
        <v>Nominal +/-5 V x 200/25 mA maximum currents. RF loss and isolated-port dissipation not included.</v>
      </c>
      <c r="J11" s="1" t="str">
        <f>IF(OR(A11="",COUNTIF(Components!$A$8:$A$107,A11)&lt;&gt;1),"",IF(VLOOKUP(A11,Components!$A$8:$S$107,9,FALSE)="","",VLOOKUP(A11,Components!$A$8:$S$107,9,FALSE)))</f>
        <v>+5 V</v>
      </c>
      <c r="K11" s="14">
        <f>IF(OR(A11="",COUNTIF(Components!$A$8:$A$107,A11)&lt;&gt;1),"",IF(VLOOKUP(A11,Components!$A$8:$S$107,10,FALSE)="","",VLOOKUP(A11,Components!$A$8:$S$107,10,FALSE)))</f>
        <v>4.75</v>
      </c>
      <c r="L11" s="14">
        <f>IF(OR(A11="",COUNTIF(Components!$A$8:$A$107,A11)&lt;&gt;1),"",IF(VLOOKUP(A11,Components!$A$8:$S$107,11,FALSE)="","",VLOOKUP(A11,Components!$A$8:$S$107,11,FALSE)))</f>
        <v>5</v>
      </c>
      <c r="M11" s="14">
        <f>IF(OR(A11="",COUNTIF(Components!$A$8:$A$107,A11)&lt;&gt;1),"",IF(VLOOKUP(A11,Components!$A$8:$S$107,12,FALSE)="","",VLOOKUP(A11,Components!$A$8:$S$107,12,FALSE)))</f>
        <v>5.25</v>
      </c>
      <c r="N11" s="15">
        <f>IF(OR(A11="",COUNTIF(Components!$A$8:$A$107,A11)&lt;&gt;1),"",IF(VLOOKUP(A11,Components!$A$8:$S$107,13,FALSE)="","",VLOOKUP(A11,Components!$A$8:$S$107,13,FALSE)))</f>
        <v>0.2</v>
      </c>
      <c r="O11" s="15">
        <f t="shared" ref="O11:O42" si="3">IF(OR(N11="",NOT(ISNUMBER(B11))),"",B11*N11)</f>
        <v>1.6</v>
      </c>
      <c r="P11" s="1" t="str">
        <f>IF(OR(A11="",COUNTIF(Components!$A$8:$A$107,A11)&lt;&gt;1),"",IF(VLOOKUP(A11,Components!$A$8:$S$107,14,FALSE)="","",VLOOKUP(A11,Components!$A$8:$S$107,14,FALSE)))</f>
        <v>-5 V</v>
      </c>
      <c r="Q11" s="14">
        <f>IF(OR(A11="",COUNTIF(Components!$A$8:$A$107,A11)&lt;&gt;1),"",IF(VLOOKUP(A11,Components!$A$8:$S$107,15,FALSE)="","",VLOOKUP(A11,Components!$A$8:$S$107,15,FALSE)))</f>
        <v>-5.25</v>
      </c>
      <c r="R11" s="14">
        <f>IF(OR(A11="",COUNTIF(Components!$A$8:$A$107,A11)&lt;&gt;1),"",IF(VLOOKUP(A11,Components!$A$8:$S$107,16,FALSE)="","",VLOOKUP(A11,Components!$A$8:$S$107,16,FALSE)))</f>
        <v>-5</v>
      </c>
      <c r="S11" s="14">
        <f>IF(OR(A11="",COUNTIF(Components!$A$8:$A$107,A11)&lt;&gt;1),"",IF(VLOOKUP(A11,Components!$A$8:$S$107,17,FALSE)="","",VLOOKUP(A11,Components!$A$8:$S$107,17,FALSE)))</f>
        <v>-4.75</v>
      </c>
      <c r="T11" s="15">
        <f>IF(OR(A11="",COUNTIF(Components!$A$8:$A$107,A11)&lt;&gt;1),"",IF(VLOOKUP(A11,Components!$A$8:$S$107,18,FALSE)="","",VLOOKUP(A11,Components!$A$8:$S$107,18,FALSE)))</f>
        <v>2.5000000000000001E-2</v>
      </c>
      <c r="U11" s="15">
        <f t="shared" ref="U11:U42" si="4">IF(OR(T11="",NOT(ISNUMBER(B11))),"",B11*T11)</f>
        <v>0.2</v>
      </c>
    </row>
    <row r="12" spans="1:21" ht="48" customHeight="1">
      <c r="A12" s="4" t="s">
        <v>44</v>
      </c>
      <c r="B12" s="11">
        <v>8</v>
      </c>
      <c r="C12" s="6">
        <f>IF(A12="","",IF(COUNTIF(Components!$A$8:$A$107,A12)&lt;&gt;1,"Pending",VLOOKUP(A12,Components!$A$8:$F$107,5,FALSE)))</f>
        <v>0.33648</v>
      </c>
      <c r="D12" s="5"/>
      <c r="E12" s="6">
        <f t="shared" si="1"/>
        <v>0.33648</v>
      </c>
      <c r="F12" s="6">
        <f t="shared" si="2"/>
        <v>2.69184</v>
      </c>
      <c r="G12" s="1" t="str">
        <f>IF(A12="",IF(OR(NOT(ISBLANK(B12)),NOT(ISBLANK(D12))),"Needs component",""),IF(COUNTIF(Components!$A$8:$A$107,A12)&lt;&gt;1,"Invalid component",IF(ISBLANK(B12),"Needs quantity",IF(NOT(ISNUMBER(B12)),"Invalid quantity",IF(OR(B12&lt;0,B12&lt;&gt;INT(B12)),"Invalid quantity",IF(NOT(ISNUMBER(E12)),"Needs heat input",IF(NOT(ISBLANK(D12)),"Override used","Catalog basis")))))))</f>
        <v>Catalog basis</v>
      </c>
      <c r="H12" s="1"/>
      <c r="I12" s="12" t="str">
        <f>IF(A12="","",IF(COUNTIF(Components!$A$8:$A$107,A12)&lt;&gt;1,"Select a unique catalog component",VLOOKUP(A12,Components!$A$8:$F$107,6,FALSE)))</f>
        <v>2 W rated input; 0.8 dB maximum attenuation dissipated.</v>
      </c>
      <c r="J12" s="1" t="str">
        <f>IF(OR(A12="",COUNTIF(Components!$A$8:$A$107,A12)&lt;&gt;1),"",IF(VLOOKUP(A12,Components!$A$8:$S$107,9,FALSE)="","",VLOOKUP(A12,Components!$A$8:$S$107,9,FALSE)))</f>
        <v>None (passive)</v>
      </c>
      <c r="K12" s="14" t="str">
        <f>IF(OR(A12="",COUNTIF(Components!$A$8:$A$107,A12)&lt;&gt;1),"",IF(VLOOKUP(A12,Components!$A$8:$S$107,10,FALSE)="","",VLOOKUP(A12,Components!$A$8:$S$107,10,FALSE)))</f>
        <v/>
      </c>
      <c r="L12" s="14" t="str">
        <f>IF(OR(A12="",COUNTIF(Components!$A$8:$A$107,A12)&lt;&gt;1),"",IF(VLOOKUP(A12,Components!$A$8:$S$107,11,FALSE)="","",VLOOKUP(A12,Components!$A$8:$S$107,11,FALSE)))</f>
        <v/>
      </c>
      <c r="M12" s="14" t="str">
        <f>IF(OR(A12="",COUNTIF(Components!$A$8:$A$107,A12)&lt;&gt;1),"",IF(VLOOKUP(A12,Components!$A$8:$S$107,12,FALSE)="","",VLOOKUP(A12,Components!$A$8:$S$107,12,FALSE)))</f>
        <v/>
      </c>
      <c r="N12" s="15" t="str">
        <f>IF(OR(A12="",COUNTIF(Components!$A$8:$A$107,A12)&lt;&gt;1),"",IF(VLOOKUP(A12,Components!$A$8:$S$107,13,FALSE)="","",VLOOKUP(A12,Components!$A$8:$S$107,13,FALSE)))</f>
        <v/>
      </c>
      <c r="O12" s="15" t="str">
        <f t="shared" si="3"/>
        <v/>
      </c>
      <c r="P12" s="1" t="str">
        <f>IF(OR(A12="",COUNTIF(Components!$A$8:$A$107,A12)&lt;&gt;1),"",IF(VLOOKUP(A12,Components!$A$8:$S$107,14,FALSE)="","",VLOOKUP(A12,Components!$A$8:$S$107,14,FALSE)))</f>
        <v/>
      </c>
      <c r="Q12" s="14" t="str">
        <f>IF(OR(A12="",COUNTIF(Components!$A$8:$A$107,A12)&lt;&gt;1),"",IF(VLOOKUP(A12,Components!$A$8:$S$107,15,FALSE)="","",VLOOKUP(A12,Components!$A$8:$S$107,15,FALSE)))</f>
        <v/>
      </c>
      <c r="R12" s="14" t="str">
        <f>IF(OR(A12="",COUNTIF(Components!$A$8:$A$107,A12)&lt;&gt;1),"",IF(VLOOKUP(A12,Components!$A$8:$S$107,16,FALSE)="","",VLOOKUP(A12,Components!$A$8:$S$107,16,FALSE)))</f>
        <v/>
      </c>
      <c r="S12" s="14" t="str">
        <f>IF(OR(A12="",COUNTIF(Components!$A$8:$A$107,A12)&lt;&gt;1),"",IF(VLOOKUP(A12,Components!$A$8:$S$107,17,FALSE)="","",VLOOKUP(A12,Components!$A$8:$S$107,17,FALSE)))</f>
        <v/>
      </c>
      <c r="T12" s="15" t="str">
        <f>IF(OR(A12="",COUNTIF(Components!$A$8:$A$107,A12)&lt;&gt;1),"",IF(VLOOKUP(A12,Components!$A$8:$S$107,18,FALSE)="","",VLOOKUP(A12,Components!$A$8:$S$107,18,FALSE)))</f>
        <v/>
      </c>
      <c r="U12" s="15" t="str">
        <f t="shared" si="4"/>
        <v/>
      </c>
    </row>
    <row r="13" spans="1:21" ht="48" customHeight="1">
      <c r="A13" s="4" t="s">
        <v>45</v>
      </c>
      <c r="B13" s="11">
        <v>8</v>
      </c>
      <c r="C13" s="6">
        <f>IF(A13="","",IF(COUNTIF(Components!$A$8:$A$107,A13)&lt;&gt;1,"Pending",VLOOKUP(A13,Components!$A$8:$F$107,5,FALSE)))</f>
        <v>0.95991000000000004</v>
      </c>
      <c r="D13" s="5"/>
      <c r="E13" s="6">
        <f t="shared" si="1"/>
        <v>0.95991000000000004</v>
      </c>
      <c r="F13" s="6">
        <f t="shared" si="2"/>
        <v>7.6792800000000003</v>
      </c>
      <c r="G13" s="1" t="str">
        <f>IF(A13="",IF(OR(NOT(ISBLANK(B13)),NOT(ISBLANK(D13))),"Needs component",""),IF(COUNTIF(Components!$A$8:$A$107,A13)&lt;&gt;1,"Invalid component",IF(ISBLANK(B13),"Needs quantity",IF(NOT(ISNUMBER(B13)),"Invalid quantity",IF(OR(B13&lt;0,B13&lt;&gt;INT(B13)),"Invalid quantity",IF(NOT(ISNUMBER(E13)),"Needs heat input",IF(NOT(ISBLANK(D13)),"Override used","Catalog basis")))))))</f>
        <v>Catalog basis</v>
      </c>
      <c r="H13" s="1"/>
      <c r="I13" s="12" t="str">
        <f>IF(A13="","",IF(COUNTIF(Components!$A$8:$A$107,A13)&lt;&gt;1,"Select a unique catalog component",VLOOKUP(A13,Components!$A$8:$F$107,6,FALSE)))</f>
        <v>1 W rated forward power, matched loads; 23 dB max insertion loss to each of 8 outputs.</v>
      </c>
      <c r="J13" s="1" t="str">
        <f>IF(OR(A13="",COUNTIF(Components!$A$8:$A$107,A13)&lt;&gt;1),"",IF(VLOOKUP(A13,Components!$A$8:$S$107,9,FALSE)="","",VLOOKUP(A13,Components!$A$8:$S$107,9,FALSE)))</f>
        <v>None (passive)</v>
      </c>
      <c r="K13" s="14" t="str">
        <f>IF(OR(A13="",COUNTIF(Components!$A$8:$A$107,A13)&lt;&gt;1),"",IF(VLOOKUP(A13,Components!$A$8:$S$107,10,FALSE)="","",VLOOKUP(A13,Components!$A$8:$S$107,10,FALSE)))</f>
        <v/>
      </c>
      <c r="L13" s="14" t="str">
        <f>IF(OR(A13="",COUNTIF(Components!$A$8:$A$107,A13)&lt;&gt;1),"",IF(VLOOKUP(A13,Components!$A$8:$S$107,11,FALSE)="","",VLOOKUP(A13,Components!$A$8:$S$107,11,FALSE)))</f>
        <v/>
      </c>
      <c r="M13" s="14" t="str">
        <f>IF(OR(A13="",COUNTIF(Components!$A$8:$A$107,A13)&lt;&gt;1),"",IF(VLOOKUP(A13,Components!$A$8:$S$107,12,FALSE)="","",VLOOKUP(A13,Components!$A$8:$S$107,12,FALSE)))</f>
        <v/>
      </c>
      <c r="N13" s="15" t="str">
        <f>IF(OR(A13="",COUNTIF(Components!$A$8:$A$107,A13)&lt;&gt;1),"",IF(VLOOKUP(A13,Components!$A$8:$S$107,13,FALSE)="","",VLOOKUP(A13,Components!$A$8:$S$107,13,FALSE)))</f>
        <v/>
      </c>
      <c r="O13" s="15" t="str">
        <f t="shared" si="3"/>
        <v/>
      </c>
      <c r="P13" s="1" t="str">
        <f>IF(OR(A13="",COUNTIF(Components!$A$8:$A$107,A13)&lt;&gt;1),"",IF(VLOOKUP(A13,Components!$A$8:$S$107,14,FALSE)="","",VLOOKUP(A13,Components!$A$8:$S$107,14,FALSE)))</f>
        <v/>
      </c>
      <c r="Q13" s="14" t="str">
        <f>IF(OR(A13="",COUNTIF(Components!$A$8:$A$107,A13)&lt;&gt;1),"",IF(VLOOKUP(A13,Components!$A$8:$S$107,15,FALSE)="","",VLOOKUP(A13,Components!$A$8:$S$107,15,FALSE)))</f>
        <v/>
      </c>
      <c r="R13" s="14" t="str">
        <f>IF(OR(A13="",COUNTIF(Components!$A$8:$A$107,A13)&lt;&gt;1),"",IF(VLOOKUP(A13,Components!$A$8:$S$107,16,FALSE)="","",VLOOKUP(A13,Components!$A$8:$S$107,16,FALSE)))</f>
        <v/>
      </c>
      <c r="S13" s="14" t="str">
        <f>IF(OR(A13="",COUNTIF(Components!$A$8:$A$107,A13)&lt;&gt;1),"",IF(VLOOKUP(A13,Components!$A$8:$S$107,17,FALSE)="","",VLOOKUP(A13,Components!$A$8:$S$107,17,FALSE)))</f>
        <v/>
      </c>
      <c r="T13" s="15" t="str">
        <f>IF(OR(A13="",COUNTIF(Components!$A$8:$A$107,A13)&lt;&gt;1),"",IF(VLOOKUP(A13,Components!$A$8:$S$107,18,FALSE)="","",VLOOKUP(A13,Components!$A$8:$S$107,18,FALSE)))</f>
        <v/>
      </c>
      <c r="U13" s="15" t="str">
        <f t="shared" si="4"/>
        <v/>
      </c>
    </row>
    <row r="14" spans="1:21" ht="48" customHeight="1">
      <c r="A14" s="4"/>
      <c r="B14" s="11"/>
      <c r="C14" s="6" t="str">
        <f>IF(A14="","",IF(COUNTIF(Components!$A$8:$A$107,A14)&lt;&gt;1,"Pending",VLOOKUP(A14,Components!$A$8:$F$107,5,FALSE)))</f>
        <v/>
      </c>
      <c r="D14" s="5"/>
      <c r="E14" s="6" t="str">
        <f t="shared" si="1"/>
        <v/>
      </c>
      <c r="F14" s="6" t="str">
        <f t="shared" si="2"/>
        <v/>
      </c>
      <c r="G14" s="1" t="str">
        <f>IF(A14="",IF(OR(NOT(ISBLANK(B14)),NOT(ISBLANK(D14))),"Needs component",""),IF(COUNTIF(Components!$A$8:$A$107,A14)&lt;&gt;1,"Invalid component",IF(ISBLANK(B14),"Needs quantity",IF(NOT(ISNUMBER(B14)),"Invalid quantity",IF(OR(B14&lt;0,B14&lt;&gt;INT(B14)),"Invalid quantity",IF(NOT(ISNUMBER(E14)),"Needs heat input",IF(NOT(ISBLANK(D14)),"Override used","Catalog basis")))))))</f>
        <v/>
      </c>
      <c r="H14" s="1"/>
      <c r="I14" s="12" t="str">
        <f>IF(A14="","",IF(COUNTIF(Components!$A$8:$A$107,A14)&lt;&gt;1,"Select a unique catalog component",VLOOKUP(A14,Components!$A$8:$F$107,6,FALSE)))</f>
        <v/>
      </c>
      <c r="J14" s="1" t="str">
        <f>IF(OR(A14="",COUNTIF(Components!$A$8:$A$107,A14)&lt;&gt;1),"",IF(VLOOKUP(A14,Components!$A$8:$S$107,9,FALSE)="","",VLOOKUP(A14,Components!$A$8:$S$107,9,FALSE)))</f>
        <v/>
      </c>
      <c r="K14" s="14" t="str">
        <f>IF(OR(A14="",COUNTIF(Components!$A$8:$A$107,A14)&lt;&gt;1),"",IF(VLOOKUP(A14,Components!$A$8:$S$107,10,FALSE)="","",VLOOKUP(A14,Components!$A$8:$S$107,10,FALSE)))</f>
        <v/>
      </c>
      <c r="L14" s="14" t="str">
        <f>IF(OR(A14="",COUNTIF(Components!$A$8:$A$107,A14)&lt;&gt;1),"",IF(VLOOKUP(A14,Components!$A$8:$S$107,11,FALSE)="","",VLOOKUP(A14,Components!$A$8:$S$107,11,FALSE)))</f>
        <v/>
      </c>
      <c r="M14" s="14" t="str">
        <f>IF(OR(A14="",COUNTIF(Components!$A$8:$A$107,A14)&lt;&gt;1),"",IF(VLOOKUP(A14,Components!$A$8:$S$107,12,FALSE)="","",VLOOKUP(A14,Components!$A$8:$S$107,12,FALSE)))</f>
        <v/>
      </c>
      <c r="N14" s="15" t="str">
        <f>IF(OR(A14="",COUNTIF(Components!$A$8:$A$107,A14)&lt;&gt;1),"",IF(VLOOKUP(A14,Components!$A$8:$S$107,13,FALSE)="","",VLOOKUP(A14,Components!$A$8:$S$107,13,FALSE)))</f>
        <v/>
      </c>
      <c r="O14" s="15" t="str">
        <f t="shared" si="3"/>
        <v/>
      </c>
      <c r="P14" s="1" t="str">
        <f>IF(OR(A14="",COUNTIF(Components!$A$8:$A$107,A14)&lt;&gt;1),"",IF(VLOOKUP(A14,Components!$A$8:$S$107,14,FALSE)="","",VLOOKUP(A14,Components!$A$8:$S$107,14,FALSE)))</f>
        <v/>
      </c>
      <c r="Q14" s="14" t="str">
        <f>IF(OR(A14="",COUNTIF(Components!$A$8:$A$107,A14)&lt;&gt;1),"",IF(VLOOKUP(A14,Components!$A$8:$S$107,15,FALSE)="","",VLOOKUP(A14,Components!$A$8:$S$107,15,FALSE)))</f>
        <v/>
      </c>
      <c r="R14" s="14" t="str">
        <f>IF(OR(A14="",COUNTIF(Components!$A$8:$A$107,A14)&lt;&gt;1),"",IF(VLOOKUP(A14,Components!$A$8:$S$107,16,FALSE)="","",VLOOKUP(A14,Components!$A$8:$S$107,16,FALSE)))</f>
        <v/>
      </c>
      <c r="S14" s="14" t="str">
        <f>IF(OR(A14="",COUNTIF(Components!$A$8:$A$107,A14)&lt;&gt;1),"",IF(VLOOKUP(A14,Components!$A$8:$S$107,17,FALSE)="","",VLOOKUP(A14,Components!$A$8:$S$107,17,FALSE)))</f>
        <v/>
      </c>
      <c r="T14" s="15" t="str">
        <f>IF(OR(A14="",COUNTIF(Components!$A$8:$A$107,A14)&lt;&gt;1),"",IF(VLOOKUP(A14,Components!$A$8:$S$107,18,FALSE)="","",VLOOKUP(A14,Components!$A$8:$S$107,18,FALSE)))</f>
        <v/>
      </c>
      <c r="U14" s="15" t="str">
        <f t="shared" si="4"/>
        <v/>
      </c>
    </row>
    <row r="15" spans="1:21" ht="48" customHeight="1">
      <c r="A15" s="4"/>
      <c r="B15" s="11"/>
      <c r="C15" s="6" t="str">
        <f>IF(A15="","",IF(COUNTIF(Components!$A$8:$A$107,A15)&lt;&gt;1,"Pending",VLOOKUP(A15,Components!$A$8:$F$107,5,FALSE)))</f>
        <v/>
      </c>
      <c r="D15" s="5"/>
      <c r="E15" s="6" t="str">
        <f t="shared" si="1"/>
        <v/>
      </c>
      <c r="F15" s="6" t="str">
        <f t="shared" si="2"/>
        <v/>
      </c>
      <c r="G15" s="1" t="str">
        <f>IF(A15="",IF(OR(NOT(ISBLANK(B15)),NOT(ISBLANK(D15))),"Needs component",""),IF(COUNTIF(Components!$A$8:$A$107,A15)&lt;&gt;1,"Invalid component",IF(ISBLANK(B15),"Needs quantity",IF(NOT(ISNUMBER(B15)),"Invalid quantity",IF(OR(B15&lt;0,B15&lt;&gt;INT(B15)),"Invalid quantity",IF(NOT(ISNUMBER(E15)),"Needs heat input",IF(NOT(ISBLANK(D15)),"Override used","Catalog basis")))))))</f>
        <v/>
      </c>
      <c r="H15" s="1"/>
      <c r="I15" s="12" t="str">
        <f>IF(A15="","",IF(COUNTIF(Components!$A$8:$A$107,A15)&lt;&gt;1,"Select a unique catalog component",VLOOKUP(A15,Components!$A$8:$F$107,6,FALSE)))</f>
        <v/>
      </c>
      <c r="J15" s="1" t="str">
        <f>IF(OR(A15="",COUNTIF(Components!$A$8:$A$107,A15)&lt;&gt;1),"",IF(VLOOKUP(A15,Components!$A$8:$S$107,9,FALSE)="","",VLOOKUP(A15,Components!$A$8:$S$107,9,FALSE)))</f>
        <v/>
      </c>
      <c r="K15" s="14" t="str">
        <f>IF(OR(A15="",COUNTIF(Components!$A$8:$A$107,A15)&lt;&gt;1),"",IF(VLOOKUP(A15,Components!$A$8:$S$107,10,FALSE)="","",VLOOKUP(A15,Components!$A$8:$S$107,10,FALSE)))</f>
        <v/>
      </c>
      <c r="L15" s="14" t="str">
        <f>IF(OR(A15="",COUNTIF(Components!$A$8:$A$107,A15)&lt;&gt;1),"",IF(VLOOKUP(A15,Components!$A$8:$S$107,11,FALSE)="","",VLOOKUP(A15,Components!$A$8:$S$107,11,FALSE)))</f>
        <v/>
      </c>
      <c r="M15" s="14" t="str">
        <f>IF(OR(A15="",COUNTIF(Components!$A$8:$A$107,A15)&lt;&gt;1),"",IF(VLOOKUP(A15,Components!$A$8:$S$107,12,FALSE)="","",VLOOKUP(A15,Components!$A$8:$S$107,12,FALSE)))</f>
        <v/>
      </c>
      <c r="N15" s="15" t="str">
        <f>IF(OR(A15="",COUNTIF(Components!$A$8:$A$107,A15)&lt;&gt;1),"",IF(VLOOKUP(A15,Components!$A$8:$S$107,13,FALSE)="","",VLOOKUP(A15,Components!$A$8:$S$107,13,FALSE)))</f>
        <v/>
      </c>
      <c r="O15" s="15" t="str">
        <f t="shared" si="3"/>
        <v/>
      </c>
      <c r="P15" s="1" t="str">
        <f>IF(OR(A15="",COUNTIF(Components!$A$8:$A$107,A15)&lt;&gt;1),"",IF(VLOOKUP(A15,Components!$A$8:$S$107,14,FALSE)="","",VLOOKUP(A15,Components!$A$8:$S$107,14,FALSE)))</f>
        <v/>
      </c>
      <c r="Q15" s="14" t="str">
        <f>IF(OR(A15="",COUNTIF(Components!$A$8:$A$107,A15)&lt;&gt;1),"",IF(VLOOKUP(A15,Components!$A$8:$S$107,15,FALSE)="","",VLOOKUP(A15,Components!$A$8:$S$107,15,FALSE)))</f>
        <v/>
      </c>
      <c r="R15" s="14" t="str">
        <f>IF(OR(A15="",COUNTIF(Components!$A$8:$A$107,A15)&lt;&gt;1),"",IF(VLOOKUP(A15,Components!$A$8:$S$107,16,FALSE)="","",VLOOKUP(A15,Components!$A$8:$S$107,16,FALSE)))</f>
        <v/>
      </c>
      <c r="S15" s="14" t="str">
        <f>IF(OR(A15="",COUNTIF(Components!$A$8:$A$107,A15)&lt;&gt;1),"",IF(VLOOKUP(A15,Components!$A$8:$S$107,17,FALSE)="","",VLOOKUP(A15,Components!$A$8:$S$107,17,FALSE)))</f>
        <v/>
      </c>
      <c r="T15" s="15" t="str">
        <f>IF(OR(A15="",COUNTIF(Components!$A$8:$A$107,A15)&lt;&gt;1),"",IF(VLOOKUP(A15,Components!$A$8:$S$107,18,FALSE)="","",VLOOKUP(A15,Components!$A$8:$S$107,18,FALSE)))</f>
        <v/>
      </c>
      <c r="U15" s="15" t="str">
        <f t="shared" si="4"/>
        <v/>
      </c>
    </row>
    <row r="16" spans="1:21" ht="48" customHeight="1">
      <c r="A16" s="4"/>
      <c r="B16" s="11"/>
      <c r="C16" s="6" t="str">
        <f>IF(A16="","",IF(COUNTIF(Components!$A$8:$A$107,A16)&lt;&gt;1,"Pending",VLOOKUP(A16,Components!$A$8:$F$107,5,FALSE)))</f>
        <v/>
      </c>
      <c r="D16" s="5"/>
      <c r="E16" s="6" t="str">
        <f t="shared" si="1"/>
        <v/>
      </c>
      <c r="F16" s="6" t="str">
        <f t="shared" si="2"/>
        <v/>
      </c>
      <c r="G16" s="1" t="str">
        <f>IF(A16="",IF(OR(NOT(ISBLANK(B16)),NOT(ISBLANK(D16))),"Needs component",""),IF(COUNTIF(Components!$A$8:$A$107,A16)&lt;&gt;1,"Invalid component",IF(ISBLANK(B16),"Needs quantity",IF(NOT(ISNUMBER(B16)),"Invalid quantity",IF(OR(B16&lt;0,B16&lt;&gt;INT(B16)),"Invalid quantity",IF(NOT(ISNUMBER(E16)),"Needs heat input",IF(NOT(ISBLANK(D16)),"Override used","Catalog basis")))))))</f>
        <v/>
      </c>
      <c r="H16" s="1"/>
      <c r="I16" s="12" t="str">
        <f>IF(A16="","",IF(COUNTIF(Components!$A$8:$A$107,A16)&lt;&gt;1,"Select a unique catalog component",VLOOKUP(A16,Components!$A$8:$F$107,6,FALSE)))</f>
        <v/>
      </c>
      <c r="J16" s="1" t="str">
        <f>IF(OR(A16="",COUNTIF(Components!$A$8:$A$107,A16)&lt;&gt;1),"",IF(VLOOKUP(A16,Components!$A$8:$S$107,9,FALSE)="","",VLOOKUP(A16,Components!$A$8:$S$107,9,FALSE)))</f>
        <v/>
      </c>
      <c r="K16" s="14" t="str">
        <f>IF(OR(A16="",COUNTIF(Components!$A$8:$A$107,A16)&lt;&gt;1),"",IF(VLOOKUP(A16,Components!$A$8:$S$107,10,FALSE)="","",VLOOKUP(A16,Components!$A$8:$S$107,10,FALSE)))</f>
        <v/>
      </c>
      <c r="L16" s="14" t="str">
        <f>IF(OR(A16="",COUNTIF(Components!$A$8:$A$107,A16)&lt;&gt;1),"",IF(VLOOKUP(A16,Components!$A$8:$S$107,11,FALSE)="","",VLOOKUP(A16,Components!$A$8:$S$107,11,FALSE)))</f>
        <v/>
      </c>
      <c r="M16" s="14" t="str">
        <f>IF(OR(A16="",COUNTIF(Components!$A$8:$A$107,A16)&lt;&gt;1),"",IF(VLOOKUP(A16,Components!$A$8:$S$107,12,FALSE)="","",VLOOKUP(A16,Components!$A$8:$S$107,12,FALSE)))</f>
        <v/>
      </c>
      <c r="N16" s="15" t="str">
        <f>IF(OR(A16="",COUNTIF(Components!$A$8:$A$107,A16)&lt;&gt;1),"",IF(VLOOKUP(A16,Components!$A$8:$S$107,13,FALSE)="","",VLOOKUP(A16,Components!$A$8:$S$107,13,FALSE)))</f>
        <v/>
      </c>
      <c r="O16" s="15" t="str">
        <f t="shared" si="3"/>
        <v/>
      </c>
      <c r="P16" s="1" t="str">
        <f>IF(OR(A16="",COUNTIF(Components!$A$8:$A$107,A16)&lt;&gt;1),"",IF(VLOOKUP(A16,Components!$A$8:$S$107,14,FALSE)="","",VLOOKUP(A16,Components!$A$8:$S$107,14,FALSE)))</f>
        <v/>
      </c>
      <c r="Q16" s="14" t="str">
        <f>IF(OR(A16="",COUNTIF(Components!$A$8:$A$107,A16)&lt;&gt;1),"",IF(VLOOKUP(A16,Components!$A$8:$S$107,15,FALSE)="","",VLOOKUP(A16,Components!$A$8:$S$107,15,FALSE)))</f>
        <v/>
      </c>
      <c r="R16" s="14" t="str">
        <f>IF(OR(A16="",COUNTIF(Components!$A$8:$A$107,A16)&lt;&gt;1),"",IF(VLOOKUP(A16,Components!$A$8:$S$107,16,FALSE)="","",VLOOKUP(A16,Components!$A$8:$S$107,16,FALSE)))</f>
        <v/>
      </c>
      <c r="S16" s="14" t="str">
        <f>IF(OR(A16="",COUNTIF(Components!$A$8:$A$107,A16)&lt;&gt;1),"",IF(VLOOKUP(A16,Components!$A$8:$S$107,17,FALSE)="","",VLOOKUP(A16,Components!$A$8:$S$107,17,FALSE)))</f>
        <v/>
      </c>
      <c r="T16" s="15" t="str">
        <f>IF(OR(A16="",COUNTIF(Components!$A$8:$A$107,A16)&lt;&gt;1),"",IF(VLOOKUP(A16,Components!$A$8:$S$107,18,FALSE)="","",VLOOKUP(A16,Components!$A$8:$S$107,18,FALSE)))</f>
        <v/>
      </c>
      <c r="U16" s="15" t="str">
        <f t="shared" si="4"/>
        <v/>
      </c>
    </row>
    <row r="17" spans="1:21" ht="48" customHeight="1">
      <c r="A17" s="4"/>
      <c r="B17" s="11"/>
      <c r="C17" s="6" t="str">
        <f>IF(A17="","",IF(COUNTIF(Components!$A$8:$A$107,A17)&lt;&gt;1,"Pending",VLOOKUP(A17,Components!$A$8:$F$107,5,FALSE)))</f>
        <v/>
      </c>
      <c r="D17" s="5"/>
      <c r="E17" s="6" t="str">
        <f t="shared" si="1"/>
        <v/>
      </c>
      <c r="F17" s="6" t="str">
        <f t="shared" si="2"/>
        <v/>
      </c>
      <c r="G17" s="1" t="str">
        <f>IF(A17="",IF(OR(NOT(ISBLANK(B17)),NOT(ISBLANK(D17))),"Needs component",""),IF(COUNTIF(Components!$A$8:$A$107,A17)&lt;&gt;1,"Invalid component",IF(ISBLANK(B17),"Needs quantity",IF(NOT(ISNUMBER(B17)),"Invalid quantity",IF(OR(B17&lt;0,B17&lt;&gt;INT(B17)),"Invalid quantity",IF(NOT(ISNUMBER(E17)),"Needs heat input",IF(NOT(ISBLANK(D17)),"Override used","Catalog basis")))))))</f>
        <v/>
      </c>
      <c r="H17" s="1"/>
      <c r="I17" s="12" t="str">
        <f>IF(A17="","",IF(COUNTIF(Components!$A$8:$A$107,A17)&lt;&gt;1,"Select a unique catalog component",VLOOKUP(A17,Components!$A$8:$F$107,6,FALSE)))</f>
        <v/>
      </c>
      <c r="J17" s="1" t="str">
        <f>IF(OR(A17="",COUNTIF(Components!$A$8:$A$107,A17)&lt;&gt;1),"",IF(VLOOKUP(A17,Components!$A$8:$S$107,9,FALSE)="","",VLOOKUP(A17,Components!$A$8:$S$107,9,FALSE)))</f>
        <v/>
      </c>
      <c r="K17" s="14" t="str">
        <f>IF(OR(A17="",COUNTIF(Components!$A$8:$A$107,A17)&lt;&gt;1),"",IF(VLOOKUP(A17,Components!$A$8:$S$107,10,FALSE)="","",VLOOKUP(A17,Components!$A$8:$S$107,10,FALSE)))</f>
        <v/>
      </c>
      <c r="L17" s="14" t="str">
        <f>IF(OR(A17="",COUNTIF(Components!$A$8:$A$107,A17)&lt;&gt;1),"",IF(VLOOKUP(A17,Components!$A$8:$S$107,11,FALSE)="","",VLOOKUP(A17,Components!$A$8:$S$107,11,FALSE)))</f>
        <v/>
      </c>
      <c r="M17" s="14" t="str">
        <f>IF(OR(A17="",COUNTIF(Components!$A$8:$A$107,A17)&lt;&gt;1),"",IF(VLOOKUP(A17,Components!$A$8:$S$107,12,FALSE)="","",VLOOKUP(A17,Components!$A$8:$S$107,12,FALSE)))</f>
        <v/>
      </c>
      <c r="N17" s="15" t="str">
        <f>IF(OR(A17="",COUNTIF(Components!$A$8:$A$107,A17)&lt;&gt;1),"",IF(VLOOKUP(A17,Components!$A$8:$S$107,13,FALSE)="","",VLOOKUP(A17,Components!$A$8:$S$107,13,FALSE)))</f>
        <v/>
      </c>
      <c r="O17" s="15" t="str">
        <f t="shared" si="3"/>
        <v/>
      </c>
      <c r="P17" s="1" t="str">
        <f>IF(OR(A17="",COUNTIF(Components!$A$8:$A$107,A17)&lt;&gt;1),"",IF(VLOOKUP(A17,Components!$A$8:$S$107,14,FALSE)="","",VLOOKUP(A17,Components!$A$8:$S$107,14,FALSE)))</f>
        <v/>
      </c>
      <c r="Q17" s="14" t="str">
        <f>IF(OR(A17="",COUNTIF(Components!$A$8:$A$107,A17)&lt;&gt;1),"",IF(VLOOKUP(A17,Components!$A$8:$S$107,15,FALSE)="","",VLOOKUP(A17,Components!$A$8:$S$107,15,FALSE)))</f>
        <v/>
      </c>
      <c r="R17" s="14" t="str">
        <f>IF(OR(A17="",COUNTIF(Components!$A$8:$A$107,A17)&lt;&gt;1),"",IF(VLOOKUP(A17,Components!$A$8:$S$107,16,FALSE)="","",VLOOKUP(A17,Components!$A$8:$S$107,16,FALSE)))</f>
        <v/>
      </c>
      <c r="S17" s="14" t="str">
        <f>IF(OR(A17="",COUNTIF(Components!$A$8:$A$107,A17)&lt;&gt;1),"",IF(VLOOKUP(A17,Components!$A$8:$S$107,17,FALSE)="","",VLOOKUP(A17,Components!$A$8:$S$107,17,FALSE)))</f>
        <v/>
      </c>
      <c r="T17" s="15" t="str">
        <f>IF(OR(A17="",COUNTIF(Components!$A$8:$A$107,A17)&lt;&gt;1),"",IF(VLOOKUP(A17,Components!$A$8:$S$107,18,FALSE)="","",VLOOKUP(A17,Components!$A$8:$S$107,18,FALSE)))</f>
        <v/>
      </c>
      <c r="U17" s="15" t="str">
        <f t="shared" si="4"/>
        <v/>
      </c>
    </row>
    <row r="18" spans="1:21" ht="48" customHeight="1">
      <c r="A18" s="4"/>
      <c r="B18" s="11"/>
      <c r="C18" s="6" t="str">
        <f>IF(A18="","",IF(COUNTIF(Components!$A$8:$A$107,A18)&lt;&gt;1,"Pending",VLOOKUP(A18,Components!$A$8:$F$107,5,FALSE)))</f>
        <v/>
      </c>
      <c r="D18" s="5"/>
      <c r="E18" s="6" t="str">
        <f t="shared" si="1"/>
        <v/>
      </c>
      <c r="F18" s="6" t="str">
        <f t="shared" si="2"/>
        <v/>
      </c>
      <c r="G18" s="1" t="str">
        <f>IF(A18="",IF(OR(NOT(ISBLANK(B18)),NOT(ISBLANK(D18))),"Needs component",""),IF(COUNTIF(Components!$A$8:$A$107,A18)&lt;&gt;1,"Invalid component",IF(ISBLANK(B18),"Needs quantity",IF(NOT(ISNUMBER(B18)),"Invalid quantity",IF(OR(B18&lt;0,B18&lt;&gt;INT(B18)),"Invalid quantity",IF(NOT(ISNUMBER(E18)),"Needs heat input",IF(NOT(ISBLANK(D18)),"Override used","Catalog basis")))))))</f>
        <v/>
      </c>
      <c r="H18" s="1"/>
      <c r="I18" s="12" t="str">
        <f>IF(A18="","",IF(COUNTIF(Components!$A$8:$A$107,A18)&lt;&gt;1,"Select a unique catalog component",VLOOKUP(A18,Components!$A$8:$F$107,6,FALSE)))</f>
        <v/>
      </c>
      <c r="J18" s="1" t="str">
        <f>IF(OR(A18="",COUNTIF(Components!$A$8:$A$107,A18)&lt;&gt;1),"",IF(VLOOKUP(A18,Components!$A$8:$S$107,9,FALSE)="","",VLOOKUP(A18,Components!$A$8:$S$107,9,FALSE)))</f>
        <v/>
      </c>
      <c r="K18" s="14" t="str">
        <f>IF(OR(A18="",COUNTIF(Components!$A$8:$A$107,A18)&lt;&gt;1),"",IF(VLOOKUP(A18,Components!$A$8:$S$107,10,FALSE)="","",VLOOKUP(A18,Components!$A$8:$S$107,10,FALSE)))</f>
        <v/>
      </c>
      <c r="L18" s="14" t="str">
        <f>IF(OR(A18="",COUNTIF(Components!$A$8:$A$107,A18)&lt;&gt;1),"",IF(VLOOKUP(A18,Components!$A$8:$S$107,11,FALSE)="","",VLOOKUP(A18,Components!$A$8:$S$107,11,FALSE)))</f>
        <v/>
      </c>
      <c r="M18" s="14" t="str">
        <f>IF(OR(A18="",COUNTIF(Components!$A$8:$A$107,A18)&lt;&gt;1),"",IF(VLOOKUP(A18,Components!$A$8:$S$107,12,FALSE)="","",VLOOKUP(A18,Components!$A$8:$S$107,12,FALSE)))</f>
        <v/>
      </c>
      <c r="N18" s="15" t="str">
        <f>IF(OR(A18="",COUNTIF(Components!$A$8:$A$107,A18)&lt;&gt;1),"",IF(VLOOKUP(A18,Components!$A$8:$S$107,13,FALSE)="","",VLOOKUP(A18,Components!$A$8:$S$107,13,FALSE)))</f>
        <v/>
      </c>
      <c r="O18" s="15" t="str">
        <f t="shared" si="3"/>
        <v/>
      </c>
      <c r="P18" s="1" t="str">
        <f>IF(OR(A18="",COUNTIF(Components!$A$8:$A$107,A18)&lt;&gt;1),"",IF(VLOOKUP(A18,Components!$A$8:$S$107,14,FALSE)="","",VLOOKUP(A18,Components!$A$8:$S$107,14,FALSE)))</f>
        <v/>
      </c>
      <c r="Q18" s="14" t="str">
        <f>IF(OR(A18="",COUNTIF(Components!$A$8:$A$107,A18)&lt;&gt;1),"",IF(VLOOKUP(A18,Components!$A$8:$S$107,15,FALSE)="","",VLOOKUP(A18,Components!$A$8:$S$107,15,FALSE)))</f>
        <v/>
      </c>
      <c r="R18" s="14" t="str">
        <f>IF(OR(A18="",COUNTIF(Components!$A$8:$A$107,A18)&lt;&gt;1),"",IF(VLOOKUP(A18,Components!$A$8:$S$107,16,FALSE)="","",VLOOKUP(A18,Components!$A$8:$S$107,16,FALSE)))</f>
        <v/>
      </c>
      <c r="S18" s="14" t="str">
        <f>IF(OR(A18="",COUNTIF(Components!$A$8:$A$107,A18)&lt;&gt;1),"",IF(VLOOKUP(A18,Components!$A$8:$S$107,17,FALSE)="","",VLOOKUP(A18,Components!$A$8:$S$107,17,FALSE)))</f>
        <v/>
      </c>
      <c r="T18" s="15" t="str">
        <f>IF(OR(A18="",COUNTIF(Components!$A$8:$A$107,A18)&lt;&gt;1),"",IF(VLOOKUP(A18,Components!$A$8:$S$107,18,FALSE)="","",VLOOKUP(A18,Components!$A$8:$S$107,18,FALSE)))</f>
        <v/>
      </c>
      <c r="U18" s="15" t="str">
        <f t="shared" si="4"/>
        <v/>
      </c>
    </row>
    <row r="19" spans="1:21" ht="48" customHeight="1">
      <c r="A19" s="4"/>
      <c r="B19" s="11"/>
      <c r="C19" s="6" t="str">
        <f>IF(A19="","",IF(COUNTIF(Components!$A$8:$A$107,A19)&lt;&gt;1,"Pending",VLOOKUP(A19,Components!$A$8:$F$107,5,FALSE)))</f>
        <v/>
      </c>
      <c r="D19" s="5"/>
      <c r="E19" s="6" t="str">
        <f t="shared" si="1"/>
        <v/>
      </c>
      <c r="F19" s="6" t="str">
        <f t="shared" si="2"/>
        <v/>
      </c>
      <c r="G19" s="1" t="str">
        <f>IF(A19="",IF(OR(NOT(ISBLANK(B19)),NOT(ISBLANK(D19))),"Needs component",""),IF(COUNTIF(Components!$A$8:$A$107,A19)&lt;&gt;1,"Invalid component",IF(ISBLANK(B19),"Needs quantity",IF(NOT(ISNUMBER(B19)),"Invalid quantity",IF(OR(B19&lt;0,B19&lt;&gt;INT(B19)),"Invalid quantity",IF(NOT(ISNUMBER(E19)),"Needs heat input",IF(NOT(ISBLANK(D19)),"Override used","Catalog basis")))))))</f>
        <v/>
      </c>
      <c r="H19" s="1"/>
      <c r="I19" s="12" t="str">
        <f>IF(A19="","",IF(COUNTIF(Components!$A$8:$A$107,A19)&lt;&gt;1,"Select a unique catalog component",VLOOKUP(A19,Components!$A$8:$F$107,6,FALSE)))</f>
        <v/>
      </c>
      <c r="J19" s="1" t="str">
        <f>IF(OR(A19="",COUNTIF(Components!$A$8:$A$107,A19)&lt;&gt;1),"",IF(VLOOKUP(A19,Components!$A$8:$S$107,9,FALSE)="","",VLOOKUP(A19,Components!$A$8:$S$107,9,FALSE)))</f>
        <v/>
      </c>
      <c r="K19" s="14" t="str">
        <f>IF(OR(A19="",COUNTIF(Components!$A$8:$A$107,A19)&lt;&gt;1),"",IF(VLOOKUP(A19,Components!$A$8:$S$107,10,FALSE)="","",VLOOKUP(A19,Components!$A$8:$S$107,10,FALSE)))</f>
        <v/>
      </c>
      <c r="L19" s="14" t="str">
        <f>IF(OR(A19="",COUNTIF(Components!$A$8:$A$107,A19)&lt;&gt;1),"",IF(VLOOKUP(A19,Components!$A$8:$S$107,11,FALSE)="","",VLOOKUP(A19,Components!$A$8:$S$107,11,FALSE)))</f>
        <v/>
      </c>
      <c r="M19" s="14" t="str">
        <f>IF(OR(A19="",COUNTIF(Components!$A$8:$A$107,A19)&lt;&gt;1),"",IF(VLOOKUP(A19,Components!$A$8:$S$107,12,FALSE)="","",VLOOKUP(A19,Components!$A$8:$S$107,12,FALSE)))</f>
        <v/>
      </c>
      <c r="N19" s="15" t="str">
        <f>IF(OR(A19="",COUNTIF(Components!$A$8:$A$107,A19)&lt;&gt;1),"",IF(VLOOKUP(A19,Components!$A$8:$S$107,13,FALSE)="","",VLOOKUP(A19,Components!$A$8:$S$107,13,FALSE)))</f>
        <v/>
      </c>
      <c r="O19" s="15" t="str">
        <f t="shared" si="3"/>
        <v/>
      </c>
      <c r="P19" s="1" t="str">
        <f>IF(OR(A19="",COUNTIF(Components!$A$8:$A$107,A19)&lt;&gt;1),"",IF(VLOOKUP(A19,Components!$A$8:$S$107,14,FALSE)="","",VLOOKUP(A19,Components!$A$8:$S$107,14,FALSE)))</f>
        <v/>
      </c>
      <c r="Q19" s="14" t="str">
        <f>IF(OR(A19="",COUNTIF(Components!$A$8:$A$107,A19)&lt;&gt;1),"",IF(VLOOKUP(A19,Components!$A$8:$S$107,15,FALSE)="","",VLOOKUP(A19,Components!$A$8:$S$107,15,FALSE)))</f>
        <v/>
      </c>
      <c r="R19" s="14" t="str">
        <f>IF(OR(A19="",COUNTIF(Components!$A$8:$A$107,A19)&lt;&gt;1),"",IF(VLOOKUP(A19,Components!$A$8:$S$107,16,FALSE)="","",VLOOKUP(A19,Components!$A$8:$S$107,16,FALSE)))</f>
        <v/>
      </c>
      <c r="S19" s="14" t="str">
        <f>IF(OR(A19="",COUNTIF(Components!$A$8:$A$107,A19)&lt;&gt;1),"",IF(VLOOKUP(A19,Components!$A$8:$S$107,17,FALSE)="","",VLOOKUP(A19,Components!$A$8:$S$107,17,FALSE)))</f>
        <v/>
      </c>
      <c r="T19" s="15" t="str">
        <f>IF(OR(A19="",COUNTIF(Components!$A$8:$A$107,A19)&lt;&gt;1),"",IF(VLOOKUP(A19,Components!$A$8:$S$107,18,FALSE)="","",VLOOKUP(A19,Components!$A$8:$S$107,18,FALSE)))</f>
        <v/>
      </c>
      <c r="U19" s="15" t="str">
        <f t="shared" si="4"/>
        <v/>
      </c>
    </row>
    <row r="20" spans="1:21" ht="48" customHeight="1">
      <c r="A20" s="4"/>
      <c r="B20" s="11"/>
      <c r="C20" s="6" t="str">
        <f>IF(A20="","",IF(COUNTIF(Components!$A$8:$A$107,A20)&lt;&gt;1,"Pending",VLOOKUP(A20,Components!$A$8:$F$107,5,FALSE)))</f>
        <v/>
      </c>
      <c r="D20" s="5"/>
      <c r="E20" s="6" t="str">
        <f t="shared" si="1"/>
        <v/>
      </c>
      <c r="F20" s="6" t="str">
        <f t="shared" si="2"/>
        <v/>
      </c>
      <c r="G20" s="1" t="str">
        <f>IF(A20="",IF(OR(NOT(ISBLANK(B20)),NOT(ISBLANK(D20))),"Needs component",""),IF(COUNTIF(Components!$A$8:$A$107,A20)&lt;&gt;1,"Invalid component",IF(ISBLANK(B20),"Needs quantity",IF(NOT(ISNUMBER(B20)),"Invalid quantity",IF(OR(B20&lt;0,B20&lt;&gt;INT(B20)),"Invalid quantity",IF(NOT(ISNUMBER(E20)),"Needs heat input",IF(NOT(ISBLANK(D20)),"Override used","Catalog basis")))))))</f>
        <v/>
      </c>
      <c r="H20" s="1"/>
      <c r="I20" s="12" t="str">
        <f>IF(A20="","",IF(COUNTIF(Components!$A$8:$A$107,A20)&lt;&gt;1,"Select a unique catalog component",VLOOKUP(A20,Components!$A$8:$F$107,6,FALSE)))</f>
        <v/>
      </c>
      <c r="J20" s="1" t="str">
        <f>IF(OR(A20="",COUNTIF(Components!$A$8:$A$107,A20)&lt;&gt;1),"",IF(VLOOKUP(A20,Components!$A$8:$S$107,9,FALSE)="","",VLOOKUP(A20,Components!$A$8:$S$107,9,FALSE)))</f>
        <v/>
      </c>
      <c r="K20" s="14" t="str">
        <f>IF(OR(A20="",COUNTIF(Components!$A$8:$A$107,A20)&lt;&gt;1),"",IF(VLOOKUP(A20,Components!$A$8:$S$107,10,FALSE)="","",VLOOKUP(A20,Components!$A$8:$S$107,10,FALSE)))</f>
        <v/>
      </c>
      <c r="L20" s="14" t="str">
        <f>IF(OR(A20="",COUNTIF(Components!$A$8:$A$107,A20)&lt;&gt;1),"",IF(VLOOKUP(A20,Components!$A$8:$S$107,11,FALSE)="","",VLOOKUP(A20,Components!$A$8:$S$107,11,FALSE)))</f>
        <v/>
      </c>
      <c r="M20" s="14" t="str">
        <f>IF(OR(A20="",COUNTIF(Components!$A$8:$A$107,A20)&lt;&gt;1),"",IF(VLOOKUP(A20,Components!$A$8:$S$107,12,FALSE)="","",VLOOKUP(A20,Components!$A$8:$S$107,12,FALSE)))</f>
        <v/>
      </c>
      <c r="N20" s="15" t="str">
        <f>IF(OR(A20="",COUNTIF(Components!$A$8:$A$107,A20)&lt;&gt;1),"",IF(VLOOKUP(A20,Components!$A$8:$S$107,13,FALSE)="","",VLOOKUP(A20,Components!$A$8:$S$107,13,FALSE)))</f>
        <v/>
      </c>
      <c r="O20" s="15" t="str">
        <f t="shared" si="3"/>
        <v/>
      </c>
      <c r="P20" s="1" t="str">
        <f>IF(OR(A20="",COUNTIF(Components!$A$8:$A$107,A20)&lt;&gt;1),"",IF(VLOOKUP(A20,Components!$A$8:$S$107,14,FALSE)="","",VLOOKUP(A20,Components!$A$8:$S$107,14,FALSE)))</f>
        <v/>
      </c>
      <c r="Q20" s="14" t="str">
        <f>IF(OR(A20="",COUNTIF(Components!$A$8:$A$107,A20)&lt;&gt;1),"",IF(VLOOKUP(A20,Components!$A$8:$S$107,15,FALSE)="","",VLOOKUP(A20,Components!$A$8:$S$107,15,FALSE)))</f>
        <v/>
      </c>
      <c r="R20" s="14" t="str">
        <f>IF(OR(A20="",COUNTIF(Components!$A$8:$A$107,A20)&lt;&gt;1),"",IF(VLOOKUP(A20,Components!$A$8:$S$107,16,FALSE)="","",VLOOKUP(A20,Components!$A$8:$S$107,16,FALSE)))</f>
        <v/>
      </c>
      <c r="S20" s="14" t="str">
        <f>IF(OR(A20="",COUNTIF(Components!$A$8:$A$107,A20)&lt;&gt;1),"",IF(VLOOKUP(A20,Components!$A$8:$S$107,17,FALSE)="","",VLOOKUP(A20,Components!$A$8:$S$107,17,FALSE)))</f>
        <v/>
      </c>
      <c r="T20" s="15" t="str">
        <f>IF(OR(A20="",COUNTIF(Components!$A$8:$A$107,A20)&lt;&gt;1),"",IF(VLOOKUP(A20,Components!$A$8:$S$107,18,FALSE)="","",VLOOKUP(A20,Components!$A$8:$S$107,18,FALSE)))</f>
        <v/>
      </c>
      <c r="U20" s="15" t="str">
        <f t="shared" si="4"/>
        <v/>
      </c>
    </row>
    <row r="21" spans="1:21" ht="48" customHeight="1">
      <c r="A21" s="4"/>
      <c r="B21" s="11"/>
      <c r="C21" s="6" t="str">
        <f>IF(A21="","",IF(COUNTIF(Components!$A$8:$A$107,A21)&lt;&gt;1,"Pending",VLOOKUP(A21,Components!$A$8:$F$107,5,FALSE)))</f>
        <v/>
      </c>
      <c r="D21" s="5"/>
      <c r="E21" s="6" t="str">
        <f t="shared" si="1"/>
        <v/>
      </c>
      <c r="F21" s="6" t="str">
        <f t="shared" si="2"/>
        <v/>
      </c>
      <c r="G21" s="1" t="str">
        <f>IF(A21="",IF(OR(NOT(ISBLANK(B21)),NOT(ISBLANK(D21))),"Needs component",""),IF(COUNTIF(Components!$A$8:$A$107,A21)&lt;&gt;1,"Invalid component",IF(ISBLANK(B21),"Needs quantity",IF(NOT(ISNUMBER(B21)),"Invalid quantity",IF(OR(B21&lt;0,B21&lt;&gt;INT(B21)),"Invalid quantity",IF(NOT(ISNUMBER(E21)),"Needs heat input",IF(NOT(ISBLANK(D21)),"Override used","Catalog basis")))))))</f>
        <v/>
      </c>
      <c r="H21" s="1"/>
      <c r="I21" s="12" t="str">
        <f>IF(A21="","",IF(COUNTIF(Components!$A$8:$A$107,A21)&lt;&gt;1,"Select a unique catalog component",VLOOKUP(A21,Components!$A$8:$F$107,6,FALSE)))</f>
        <v/>
      </c>
      <c r="J21" s="1" t="str">
        <f>IF(OR(A21="",COUNTIF(Components!$A$8:$A$107,A21)&lt;&gt;1),"",IF(VLOOKUP(A21,Components!$A$8:$S$107,9,FALSE)="","",VLOOKUP(A21,Components!$A$8:$S$107,9,FALSE)))</f>
        <v/>
      </c>
      <c r="K21" s="14" t="str">
        <f>IF(OR(A21="",COUNTIF(Components!$A$8:$A$107,A21)&lt;&gt;1),"",IF(VLOOKUP(A21,Components!$A$8:$S$107,10,FALSE)="","",VLOOKUP(A21,Components!$A$8:$S$107,10,FALSE)))</f>
        <v/>
      </c>
      <c r="L21" s="14" t="str">
        <f>IF(OR(A21="",COUNTIF(Components!$A$8:$A$107,A21)&lt;&gt;1),"",IF(VLOOKUP(A21,Components!$A$8:$S$107,11,FALSE)="","",VLOOKUP(A21,Components!$A$8:$S$107,11,FALSE)))</f>
        <v/>
      </c>
      <c r="M21" s="14" t="str">
        <f>IF(OR(A21="",COUNTIF(Components!$A$8:$A$107,A21)&lt;&gt;1),"",IF(VLOOKUP(A21,Components!$A$8:$S$107,12,FALSE)="","",VLOOKUP(A21,Components!$A$8:$S$107,12,FALSE)))</f>
        <v/>
      </c>
      <c r="N21" s="15" t="str">
        <f>IF(OR(A21="",COUNTIF(Components!$A$8:$A$107,A21)&lt;&gt;1),"",IF(VLOOKUP(A21,Components!$A$8:$S$107,13,FALSE)="","",VLOOKUP(A21,Components!$A$8:$S$107,13,FALSE)))</f>
        <v/>
      </c>
      <c r="O21" s="15" t="str">
        <f t="shared" si="3"/>
        <v/>
      </c>
      <c r="P21" s="1" t="str">
        <f>IF(OR(A21="",COUNTIF(Components!$A$8:$A$107,A21)&lt;&gt;1),"",IF(VLOOKUP(A21,Components!$A$8:$S$107,14,FALSE)="","",VLOOKUP(A21,Components!$A$8:$S$107,14,FALSE)))</f>
        <v/>
      </c>
      <c r="Q21" s="14" t="str">
        <f>IF(OR(A21="",COUNTIF(Components!$A$8:$A$107,A21)&lt;&gt;1),"",IF(VLOOKUP(A21,Components!$A$8:$S$107,15,FALSE)="","",VLOOKUP(A21,Components!$A$8:$S$107,15,FALSE)))</f>
        <v/>
      </c>
      <c r="R21" s="14" t="str">
        <f>IF(OR(A21="",COUNTIF(Components!$A$8:$A$107,A21)&lt;&gt;1),"",IF(VLOOKUP(A21,Components!$A$8:$S$107,16,FALSE)="","",VLOOKUP(A21,Components!$A$8:$S$107,16,FALSE)))</f>
        <v/>
      </c>
      <c r="S21" s="14" t="str">
        <f>IF(OR(A21="",COUNTIF(Components!$A$8:$A$107,A21)&lt;&gt;1),"",IF(VLOOKUP(A21,Components!$A$8:$S$107,17,FALSE)="","",VLOOKUP(A21,Components!$A$8:$S$107,17,FALSE)))</f>
        <v/>
      </c>
      <c r="T21" s="15" t="str">
        <f>IF(OR(A21="",COUNTIF(Components!$A$8:$A$107,A21)&lt;&gt;1),"",IF(VLOOKUP(A21,Components!$A$8:$S$107,18,FALSE)="","",VLOOKUP(A21,Components!$A$8:$S$107,18,FALSE)))</f>
        <v/>
      </c>
      <c r="U21" s="15" t="str">
        <f t="shared" si="4"/>
        <v/>
      </c>
    </row>
    <row r="22" spans="1:21" ht="48" customHeight="1">
      <c r="A22" s="4"/>
      <c r="B22" s="11"/>
      <c r="C22" s="6" t="str">
        <f>IF(A22="","",IF(COUNTIF(Components!$A$8:$A$107,A22)&lt;&gt;1,"Pending",VLOOKUP(A22,Components!$A$8:$F$107,5,FALSE)))</f>
        <v/>
      </c>
      <c r="D22" s="5"/>
      <c r="E22" s="6" t="str">
        <f t="shared" si="1"/>
        <v/>
      </c>
      <c r="F22" s="6" t="str">
        <f t="shared" si="2"/>
        <v/>
      </c>
      <c r="G22" s="1" t="str">
        <f>IF(A22="",IF(OR(NOT(ISBLANK(B22)),NOT(ISBLANK(D22))),"Needs component",""),IF(COUNTIF(Components!$A$8:$A$107,A22)&lt;&gt;1,"Invalid component",IF(ISBLANK(B22),"Needs quantity",IF(NOT(ISNUMBER(B22)),"Invalid quantity",IF(OR(B22&lt;0,B22&lt;&gt;INT(B22)),"Invalid quantity",IF(NOT(ISNUMBER(E22)),"Needs heat input",IF(NOT(ISBLANK(D22)),"Override used","Catalog basis")))))))</f>
        <v/>
      </c>
      <c r="H22" s="1"/>
      <c r="I22" s="12" t="str">
        <f>IF(A22="","",IF(COUNTIF(Components!$A$8:$A$107,A22)&lt;&gt;1,"Select a unique catalog component",VLOOKUP(A22,Components!$A$8:$F$107,6,FALSE)))</f>
        <v/>
      </c>
      <c r="J22" s="1" t="str">
        <f>IF(OR(A22="",COUNTIF(Components!$A$8:$A$107,A22)&lt;&gt;1),"",IF(VLOOKUP(A22,Components!$A$8:$S$107,9,FALSE)="","",VLOOKUP(A22,Components!$A$8:$S$107,9,FALSE)))</f>
        <v/>
      </c>
      <c r="K22" s="14" t="str">
        <f>IF(OR(A22="",COUNTIF(Components!$A$8:$A$107,A22)&lt;&gt;1),"",IF(VLOOKUP(A22,Components!$A$8:$S$107,10,FALSE)="","",VLOOKUP(A22,Components!$A$8:$S$107,10,FALSE)))</f>
        <v/>
      </c>
      <c r="L22" s="14" t="str">
        <f>IF(OR(A22="",COUNTIF(Components!$A$8:$A$107,A22)&lt;&gt;1),"",IF(VLOOKUP(A22,Components!$A$8:$S$107,11,FALSE)="","",VLOOKUP(A22,Components!$A$8:$S$107,11,FALSE)))</f>
        <v/>
      </c>
      <c r="M22" s="14" t="str">
        <f>IF(OR(A22="",COUNTIF(Components!$A$8:$A$107,A22)&lt;&gt;1),"",IF(VLOOKUP(A22,Components!$A$8:$S$107,12,FALSE)="","",VLOOKUP(A22,Components!$A$8:$S$107,12,FALSE)))</f>
        <v/>
      </c>
      <c r="N22" s="15" t="str">
        <f>IF(OR(A22="",COUNTIF(Components!$A$8:$A$107,A22)&lt;&gt;1),"",IF(VLOOKUP(A22,Components!$A$8:$S$107,13,FALSE)="","",VLOOKUP(A22,Components!$A$8:$S$107,13,FALSE)))</f>
        <v/>
      </c>
      <c r="O22" s="15" t="str">
        <f t="shared" si="3"/>
        <v/>
      </c>
      <c r="P22" s="1" t="str">
        <f>IF(OR(A22="",COUNTIF(Components!$A$8:$A$107,A22)&lt;&gt;1),"",IF(VLOOKUP(A22,Components!$A$8:$S$107,14,FALSE)="","",VLOOKUP(A22,Components!$A$8:$S$107,14,FALSE)))</f>
        <v/>
      </c>
      <c r="Q22" s="14" t="str">
        <f>IF(OR(A22="",COUNTIF(Components!$A$8:$A$107,A22)&lt;&gt;1),"",IF(VLOOKUP(A22,Components!$A$8:$S$107,15,FALSE)="","",VLOOKUP(A22,Components!$A$8:$S$107,15,FALSE)))</f>
        <v/>
      </c>
      <c r="R22" s="14" t="str">
        <f>IF(OR(A22="",COUNTIF(Components!$A$8:$A$107,A22)&lt;&gt;1),"",IF(VLOOKUP(A22,Components!$A$8:$S$107,16,FALSE)="","",VLOOKUP(A22,Components!$A$8:$S$107,16,FALSE)))</f>
        <v/>
      </c>
      <c r="S22" s="14" t="str">
        <f>IF(OR(A22="",COUNTIF(Components!$A$8:$A$107,A22)&lt;&gt;1),"",IF(VLOOKUP(A22,Components!$A$8:$S$107,17,FALSE)="","",VLOOKUP(A22,Components!$A$8:$S$107,17,FALSE)))</f>
        <v/>
      </c>
      <c r="T22" s="15" t="str">
        <f>IF(OR(A22="",COUNTIF(Components!$A$8:$A$107,A22)&lt;&gt;1),"",IF(VLOOKUP(A22,Components!$A$8:$S$107,18,FALSE)="","",VLOOKUP(A22,Components!$A$8:$S$107,18,FALSE)))</f>
        <v/>
      </c>
      <c r="U22" s="15" t="str">
        <f t="shared" si="4"/>
        <v/>
      </c>
    </row>
    <row r="23" spans="1:21" ht="48" customHeight="1">
      <c r="A23" s="4"/>
      <c r="B23" s="11"/>
      <c r="C23" s="6" t="str">
        <f>IF(A23="","",IF(COUNTIF(Components!$A$8:$A$107,A23)&lt;&gt;1,"Pending",VLOOKUP(A23,Components!$A$8:$F$107,5,FALSE)))</f>
        <v/>
      </c>
      <c r="D23" s="5"/>
      <c r="E23" s="6" t="str">
        <f t="shared" si="1"/>
        <v/>
      </c>
      <c r="F23" s="6" t="str">
        <f t="shared" si="2"/>
        <v/>
      </c>
      <c r="G23" s="1" t="str">
        <f>IF(A23="",IF(OR(NOT(ISBLANK(B23)),NOT(ISBLANK(D23))),"Needs component",""),IF(COUNTIF(Components!$A$8:$A$107,A23)&lt;&gt;1,"Invalid component",IF(ISBLANK(B23),"Needs quantity",IF(NOT(ISNUMBER(B23)),"Invalid quantity",IF(OR(B23&lt;0,B23&lt;&gt;INT(B23)),"Invalid quantity",IF(NOT(ISNUMBER(E23)),"Needs heat input",IF(NOT(ISBLANK(D23)),"Override used","Catalog basis")))))))</f>
        <v/>
      </c>
      <c r="H23" s="1"/>
      <c r="I23" s="12" t="str">
        <f>IF(A23="","",IF(COUNTIF(Components!$A$8:$A$107,A23)&lt;&gt;1,"Select a unique catalog component",VLOOKUP(A23,Components!$A$8:$F$107,6,FALSE)))</f>
        <v/>
      </c>
      <c r="J23" s="1" t="str">
        <f>IF(OR(A23="",COUNTIF(Components!$A$8:$A$107,A23)&lt;&gt;1),"",IF(VLOOKUP(A23,Components!$A$8:$S$107,9,FALSE)="","",VLOOKUP(A23,Components!$A$8:$S$107,9,FALSE)))</f>
        <v/>
      </c>
      <c r="K23" s="14" t="str">
        <f>IF(OR(A23="",COUNTIF(Components!$A$8:$A$107,A23)&lt;&gt;1),"",IF(VLOOKUP(A23,Components!$A$8:$S$107,10,FALSE)="","",VLOOKUP(A23,Components!$A$8:$S$107,10,FALSE)))</f>
        <v/>
      </c>
      <c r="L23" s="14" t="str">
        <f>IF(OR(A23="",COUNTIF(Components!$A$8:$A$107,A23)&lt;&gt;1),"",IF(VLOOKUP(A23,Components!$A$8:$S$107,11,FALSE)="","",VLOOKUP(A23,Components!$A$8:$S$107,11,FALSE)))</f>
        <v/>
      </c>
      <c r="M23" s="14" t="str">
        <f>IF(OR(A23="",COUNTIF(Components!$A$8:$A$107,A23)&lt;&gt;1),"",IF(VLOOKUP(A23,Components!$A$8:$S$107,12,FALSE)="","",VLOOKUP(A23,Components!$A$8:$S$107,12,FALSE)))</f>
        <v/>
      </c>
      <c r="N23" s="15" t="str">
        <f>IF(OR(A23="",COUNTIF(Components!$A$8:$A$107,A23)&lt;&gt;1),"",IF(VLOOKUP(A23,Components!$A$8:$S$107,13,FALSE)="","",VLOOKUP(A23,Components!$A$8:$S$107,13,FALSE)))</f>
        <v/>
      </c>
      <c r="O23" s="15" t="str">
        <f t="shared" si="3"/>
        <v/>
      </c>
      <c r="P23" s="1" t="str">
        <f>IF(OR(A23="",COUNTIF(Components!$A$8:$A$107,A23)&lt;&gt;1),"",IF(VLOOKUP(A23,Components!$A$8:$S$107,14,FALSE)="","",VLOOKUP(A23,Components!$A$8:$S$107,14,FALSE)))</f>
        <v/>
      </c>
      <c r="Q23" s="14" t="str">
        <f>IF(OR(A23="",COUNTIF(Components!$A$8:$A$107,A23)&lt;&gt;1),"",IF(VLOOKUP(A23,Components!$A$8:$S$107,15,FALSE)="","",VLOOKUP(A23,Components!$A$8:$S$107,15,FALSE)))</f>
        <v/>
      </c>
      <c r="R23" s="14" t="str">
        <f>IF(OR(A23="",COUNTIF(Components!$A$8:$A$107,A23)&lt;&gt;1),"",IF(VLOOKUP(A23,Components!$A$8:$S$107,16,FALSE)="","",VLOOKUP(A23,Components!$A$8:$S$107,16,FALSE)))</f>
        <v/>
      </c>
      <c r="S23" s="14" t="str">
        <f>IF(OR(A23="",COUNTIF(Components!$A$8:$A$107,A23)&lt;&gt;1),"",IF(VLOOKUP(A23,Components!$A$8:$S$107,17,FALSE)="","",VLOOKUP(A23,Components!$A$8:$S$107,17,FALSE)))</f>
        <v/>
      </c>
      <c r="T23" s="15" t="str">
        <f>IF(OR(A23="",COUNTIF(Components!$A$8:$A$107,A23)&lt;&gt;1),"",IF(VLOOKUP(A23,Components!$A$8:$S$107,18,FALSE)="","",VLOOKUP(A23,Components!$A$8:$S$107,18,FALSE)))</f>
        <v/>
      </c>
      <c r="U23" s="15" t="str">
        <f t="shared" si="4"/>
        <v/>
      </c>
    </row>
    <row r="24" spans="1:21" ht="48" customHeight="1">
      <c r="A24" s="4"/>
      <c r="B24" s="11"/>
      <c r="C24" s="6" t="str">
        <f>IF(A24="","",IF(COUNTIF(Components!$A$8:$A$107,A24)&lt;&gt;1,"Pending",VLOOKUP(A24,Components!$A$8:$F$107,5,FALSE)))</f>
        <v/>
      </c>
      <c r="D24" s="5"/>
      <c r="E24" s="6" t="str">
        <f t="shared" si="1"/>
        <v/>
      </c>
      <c r="F24" s="6" t="str">
        <f t="shared" si="2"/>
        <v/>
      </c>
      <c r="G24" s="1" t="str">
        <f>IF(A24="",IF(OR(NOT(ISBLANK(B24)),NOT(ISBLANK(D24))),"Needs component",""),IF(COUNTIF(Components!$A$8:$A$107,A24)&lt;&gt;1,"Invalid component",IF(ISBLANK(B24),"Needs quantity",IF(NOT(ISNUMBER(B24)),"Invalid quantity",IF(OR(B24&lt;0,B24&lt;&gt;INT(B24)),"Invalid quantity",IF(NOT(ISNUMBER(E24)),"Needs heat input",IF(NOT(ISBLANK(D24)),"Override used","Catalog basis")))))))</f>
        <v/>
      </c>
      <c r="H24" s="1"/>
      <c r="I24" s="12" t="str">
        <f>IF(A24="","",IF(COUNTIF(Components!$A$8:$A$107,A24)&lt;&gt;1,"Select a unique catalog component",VLOOKUP(A24,Components!$A$8:$F$107,6,FALSE)))</f>
        <v/>
      </c>
      <c r="J24" s="1" t="str">
        <f>IF(OR(A24="",COUNTIF(Components!$A$8:$A$107,A24)&lt;&gt;1),"",IF(VLOOKUP(A24,Components!$A$8:$S$107,9,FALSE)="","",VLOOKUP(A24,Components!$A$8:$S$107,9,FALSE)))</f>
        <v/>
      </c>
      <c r="K24" s="14" t="str">
        <f>IF(OR(A24="",COUNTIF(Components!$A$8:$A$107,A24)&lt;&gt;1),"",IF(VLOOKUP(A24,Components!$A$8:$S$107,10,FALSE)="","",VLOOKUP(A24,Components!$A$8:$S$107,10,FALSE)))</f>
        <v/>
      </c>
      <c r="L24" s="14" t="str">
        <f>IF(OR(A24="",COUNTIF(Components!$A$8:$A$107,A24)&lt;&gt;1),"",IF(VLOOKUP(A24,Components!$A$8:$S$107,11,FALSE)="","",VLOOKUP(A24,Components!$A$8:$S$107,11,FALSE)))</f>
        <v/>
      </c>
      <c r="M24" s="14" t="str">
        <f>IF(OR(A24="",COUNTIF(Components!$A$8:$A$107,A24)&lt;&gt;1),"",IF(VLOOKUP(A24,Components!$A$8:$S$107,12,FALSE)="","",VLOOKUP(A24,Components!$A$8:$S$107,12,FALSE)))</f>
        <v/>
      </c>
      <c r="N24" s="15" t="str">
        <f>IF(OR(A24="",COUNTIF(Components!$A$8:$A$107,A24)&lt;&gt;1),"",IF(VLOOKUP(A24,Components!$A$8:$S$107,13,FALSE)="","",VLOOKUP(A24,Components!$A$8:$S$107,13,FALSE)))</f>
        <v/>
      </c>
      <c r="O24" s="15" t="str">
        <f t="shared" si="3"/>
        <v/>
      </c>
      <c r="P24" s="1" t="str">
        <f>IF(OR(A24="",COUNTIF(Components!$A$8:$A$107,A24)&lt;&gt;1),"",IF(VLOOKUP(A24,Components!$A$8:$S$107,14,FALSE)="","",VLOOKUP(A24,Components!$A$8:$S$107,14,FALSE)))</f>
        <v/>
      </c>
      <c r="Q24" s="14" t="str">
        <f>IF(OR(A24="",COUNTIF(Components!$A$8:$A$107,A24)&lt;&gt;1),"",IF(VLOOKUP(A24,Components!$A$8:$S$107,15,FALSE)="","",VLOOKUP(A24,Components!$A$8:$S$107,15,FALSE)))</f>
        <v/>
      </c>
      <c r="R24" s="14" t="str">
        <f>IF(OR(A24="",COUNTIF(Components!$A$8:$A$107,A24)&lt;&gt;1),"",IF(VLOOKUP(A24,Components!$A$8:$S$107,16,FALSE)="","",VLOOKUP(A24,Components!$A$8:$S$107,16,FALSE)))</f>
        <v/>
      </c>
      <c r="S24" s="14" t="str">
        <f>IF(OR(A24="",COUNTIF(Components!$A$8:$A$107,A24)&lt;&gt;1),"",IF(VLOOKUP(A24,Components!$A$8:$S$107,17,FALSE)="","",VLOOKUP(A24,Components!$A$8:$S$107,17,FALSE)))</f>
        <v/>
      </c>
      <c r="T24" s="15" t="str">
        <f>IF(OR(A24="",COUNTIF(Components!$A$8:$A$107,A24)&lt;&gt;1),"",IF(VLOOKUP(A24,Components!$A$8:$S$107,18,FALSE)="","",VLOOKUP(A24,Components!$A$8:$S$107,18,FALSE)))</f>
        <v/>
      </c>
      <c r="U24" s="15" t="str">
        <f t="shared" si="4"/>
        <v/>
      </c>
    </row>
    <row r="25" spans="1:21" ht="48" customHeight="1">
      <c r="A25" s="4"/>
      <c r="B25" s="11"/>
      <c r="C25" s="6" t="str">
        <f>IF(A25="","",IF(COUNTIF(Components!$A$8:$A$107,A25)&lt;&gt;1,"Pending",VLOOKUP(A25,Components!$A$8:$F$107,5,FALSE)))</f>
        <v/>
      </c>
      <c r="D25" s="5"/>
      <c r="E25" s="6" t="str">
        <f t="shared" si="1"/>
        <v/>
      </c>
      <c r="F25" s="6" t="str">
        <f t="shared" si="2"/>
        <v/>
      </c>
      <c r="G25" s="1" t="str">
        <f>IF(A25="",IF(OR(NOT(ISBLANK(B25)),NOT(ISBLANK(D25))),"Needs component",""),IF(COUNTIF(Components!$A$8:$A$107,A25)&lt;&gt;1,"Invalid component",IF(ISBLANK(B25),"Needs quantity",IF(NOT(ISNUMBER(B25)),"Invalid quantity",IF(OR(B25&lt;0,B25&lt;&gt;INT(B25)),"Invalid quantity",IF(NOT(ISNUMBER(E25)),"Needs heat input",IF(NOT(ISBLANK(D25)),"Override used","Catalog basis")))))))</f>
        <v/>
      </c>
      <c r="H25" s="1"/>
      <c r="I25" s="12" t="str">
        <f>IF(A25="","",IF(COUNTIF(Components!$A$8:$A$107,A25)&lt;&gt;1,"Select a unique catalog component",VLOOKUP(A25,Components!$A$8:$F$107,6,FALSE)))</f>
        <v/>
      </c>
      <c r="J25" s="1" t="str">
        <f>IF(OR(A25="",COUNTIF(Components!$A$8:$A$107,A25)&lt;&gt;1),"",IF(VLOOKUP(A25,Components!$A$8:$S$107,9,FALSE)="","",VLOOKUP(A25,Components!$A$8:$S$107,9,FALSE)))</f>
        <v/>
      </c>
      <c r="K25" s="14" t="str">
        <f>IF(OR(A25="",COUNTIF(Components!$A$8:$A$107,A25)&lt;&gt;1),"",IF(VLOOKUP(A25,Components!$A$8:$S$107,10,FALSE)="","",VLOOKUP(A25,Components!$A$8:$S$107,10,FALSE)))</f>
        <v/>
      </c>
      <c r="L25" s="14" t="str">
        <f>IF(OR(A25="",COUNTIF(Components!$A$8:$A$107,A25)&lt;&gt;1),"",IF(VLOOKUP(A25,Components!$A$8:$S$107,11,FALSE)="","",VLOOKUP(A25,Components!$A$8:$S$107,11,FALSE)))</f>
        <v/>
      </c>
      <c r="M25" s="14" t="str">
        <f>IF(OR(A25="",COUNTIF(Components!$A$8:$A$107,A25)&lt;&gt;1),"",IF(VLOOKUP(A25,Components!$A$8:$S$107,12,FALSE)="","",VLOOKUP(A25,Components!$A$8:$S$107,12,FALSE)))</f>
        <v/>
      </c>
      <c r="N25" s="15" t="str">
        <f>IF(OR(A25="",COUNTIF(Components!$A$8:$A$107,A25)&lt;&gt;1),"",IF(VLOOKUP(A25,Components!$A$8:$S$107,13,FALSE)="","",VLOOKUP(A25,Components!$A$8:$S$107,13,FALSE)))</f>
        <v/>
      </c>
      <c r="O25" s="15" t="str">
        <f t="shared" si="3"/>
        <v/>
      </c>
      <c r="P25" s="1" t="str">
        <f>IF(OR(A25="",COUNTIF(Components!$A$8:$A$107,A25)&lt;&gt;1),"",IF(VLOOKUP(A25,Components!$A$8:$S$107,14,FALSE)="","",VLOOKUP(A25,Components!$A$8:$S$107,14,FALSE)))</f>
        <v/>
      </c>
      <c r="Q25" s="14" t="str">
        <f>IF(OR(A25="",COUNTIF(Components!$A$8:$A$107,A25)&lt;&gt;1),"",IF(VLOOKUP(A25,Components!$A$8:$S$107,15,FALSE)="","",VLOOKUP(A25,Components!$A$8:$S$107,15,FALSE)))</f>
        <v/>
      </c>
      <c r="R25" s="14" t="str">
        <f>IF(OR(A25="",COUNTIF(Components!$A$8:$A$107,A25)&lt;&gt;1),"",IF(VLOOKUP(A25,Components!$A$8:$S$107,16,FALSE)="","",VLOOKUP(A25,Components!$A$8:$S$107,16,FALSE)))</f>
        <v/>
      </c>
      <c r="S25" s="14" t="str">
        <f>IF(OR(A25="",COUNTIF(Components!$A$8:$A$107,A25)&lt;&gt;1),"",IF(VLOOKUP(A25,Components!$A$8:$S$107,17,FALSE)="","",VLOOKUP(A25,Components!$A$8:$S$107,17,FALSE)))</f>
        <v/>
      </c>
      <c r="T25" s="15" t="str">
        <f>IF(OR(A25="",COUNTIF(Components!$A$8:$A$107,A25)&lt;&gt;1),"",IF(VLOOKUP(A25,Components!$A$8:$S$107,18,FALSE)="","",VLOOKUP(A25,Components!$A$8:$S$107,18,FALSE)))</f>
        <v/>
      </c>
      <c r="U25" s="15" t="str">
        <f t="shared" si="4"/>
        <v/>
      </c>
    </row>
    <row r="26" spans="1:21" ht="48" customHeight="1">
      <c r="A26" s="4"/>
      <c r="B26" s="11"/>
      <c r="C26" s="6" t="str">
        <f>IF(A26="","",IF(COUNTIF(Components!$A$8:$A$107,A26)&lt;&gt;1,"Pending",VLOOKUP(A26,Components!$A$8:$F$107,5,FALSE)))</f>
        <v/>
      </c>
      <c r="D26" s="5"/>
      <c r="E26" s="6" t="str">
        <f t="shared" si="1"/>
        <v/>
      </c>
      <c r="F26" s="6" t="str">
        <f t="shared" si="2"/>
        <v/>
      </c>
      <c r="G26" s="1" t="str">
        <f>IF(A26="",IF(OR(NOT(ISBLANK(B26)),NOT(ISBLANK(D26))),"Needs component",""),IF(COUNTIF(Components!$A$8:$A$107,A26)&lt;&gt;1,"Invalid component",IF(ISBLANK(B26),"Needs quantity",IF(NOT(ISNUMBER(B26)),"Invalid quantity",IF(OR(B26&lt;0,B26&lt;&gt;INT(B26)),"Invalid quantity",IF(NOT(ISNUMBER(E26)),"Needs heat input",IF(NOT(ISBLANK(D26)),"Override used","Catalog basis")))))))</f>
        <v/>
      </c>
      <c r="H26" s="1"/>
      <c r="I26" s="12" t="str">
        <f>IF(A26="","",IF(COUNTIF(Components!$A$8:$A$107,A26)&lt;&gt;1,"Select a unique catalog component",VLOOKUP(A26,Components!$A$8:$F$107,6,FALSE)))</f>
        <v/>
      </c>
      <c r="J26" s="1" t="str">
        <f>IF(OR(A26="",COUNTIF(Components!$A$8:$A$107,A26)&lt;&gt;1),"",IF(VLOOKUP(A26,Components!$A$8:$S$107,9,FALSE)="","",VLOOKUP(A26,Components!$A$8:$S$107,9,FALSE)))</f>
        <v/>
      </c>
      <c r="K26" s="14" t="str">
        <f>IF(OR(A26="",COUNTIF(Components!$A$8:$A$107,A26)&lt;&gt;1),"",IF(VLOOKUP(A26,Components!$A$8:$S$107,10,FALSE)="","",VLOOKUP(A26,Components!$A$8:$S$107,10,FALSE)))</f>
        <v/>
      </c>
      <c r="L26" s="14" t="str">
        <f>IF(OR(A26="",COUNTIF(Components!$A$8:$A$107,A26)&lt;&gt;1),"",IF(VLOOKUP(A26,Components!$A$8:$S$107,11,FALSE)="","",VLOOKUP(A26,Components!$A$8:$S$107,11,FALSE)))</f>
        <v/>
      </c>
      <c r="M26" s="14" t="str">
        <f>IF(OR(A26="",COUNTIF(Components!$A$8:$A$107,A26)&lt;&gt;1),"",IF(VLOOKUP(A26,Components!$A$8:$S$107,12,FALSE)="","",VLOOKUP(A26,Components!$A$8:$S$107,12,FALSE)))</f>
        <v/>
      </c>
      <c r="N26" s="15" t="str">
        <f>IF(OR(A26="",COUNTIF(Components!$A$8:$A$107,A26)&lt;&gt;1),"",IF(VLOOKUP(A26,Components!$A$8:$S$107,13,FALSE)="","",VLOOKUP(A26,Components!$A$8:$S$107,13,FALSE)))</f>
        <v/>
      </c>
      <c r="O26" s="15" t="str">
        <f t="shared" si="3"/>
        <v/>
      </c>
      <c r="P26" s="1" t="str">
        <f>IF(OR(A26="",COUNTIF(Components!$A$8:$A$107,A26)&lt;&gt;1),"",IF(VLOOKUP(A26,Components!$A$8:$S$107,14,FALSE)="","",VLOOKUP(A26,Components!$A$8:$S$107,14,FALSE)))</f>
        <v/>
      </c>
      <c r="Q26" s="14" t="str">
        <f>IF(OR(A26="",COUNTIF(Components!$A$8:$A$107,A26)&lt;&gt;1),"",IF(VLOOKUP(A26,Components!$A$8:$S$107,15,FALSE)="","",VLOOKUP(A26,Components!$A$8:$S$107,15,FALSE)))</f>
        <v/>
      </c>
      <c r="R26" s="14" t="str">
        <f>IF(OR(A26="",COUNTIF(Components!$A$8:$A$107,A26)&lt;&gt;1),"",IF(VLOOKUP(A26,Components!$A$8:$S$107,16,FALSE)="","",VLOOKUP(A26,Components!$A$8:$S$107,16,FALSE)))</f>
        <v/>
      </c>
      <c r="S26" s="14" t="str">
        <f>IF(OR(A26="",COUNTIF(Components!$A$8:$A$107,A26)&lt;&gt;1),"",IF(VLOOKUP(A26,Components!$A$8:$S$107,17,FALSE)="","",VLOOKUP(A26,Components!$A$8:$S$107,17,FALSE)))</f>
        <v/>
      </c>
      <c r="T26" s="15" t="str">
        <f>IF(OR(A26="",COUNTIF(Components!$A$8:$A$107,A26)&lt;&gt;1),"",IF(VLOOKUP(A26,Components!$A$8:$S$107,18,FALSE)="","",VLOOKUP(A26,Components!$A$8:$S$107,18,FALSE)))</f>
        <v/>
      </c>
      <c r="U26" s="15" t="str">
        <f t="shared" si="4"/>
        <v/>
      </c>
    </row>
    <row r="27" spans="1:21" ht="48" customHeight="1">
      <c r="A27" s="4"/>
      <c r="B27" s="11"/>
      <c r="C27" s="6" t="str">
        <f>IF(A27="","",IF(COUNTIF(Components!$A$8:$A$107,A27)&lt;&gt;1,"Pending",VLOOKUP(A27,Components!$A$8:$F$107,5,FALSE)))</f>
        <v/>
      </c>
      <c r="D27" s="5"/>
      <c r="E27" s="6" t="str">
        <f t="shared" si="1"/>
        <v/>
      </c>
      <c r="F27" s="6" t="str">
        <f t="shared" si="2"/>
        <v/>
      </c>
      <c r="G27" s="1" t="str">
        <f>IF(A27="",IF(OR(NOT(ISBLANK(B27)),NOT(ISBLANK(D27))),"Needs component",""),IF(COUNTIF(Components!$A$8:$A$107,A27)&lt;&gt;1,"Invalid component",IF(ISBLANK(B27),"Needs quantity",IF(NOT(ISNUMBER(B27)),"Invalid quantity",IF(OR(B27&lt;0,B27&lt;&gt;INT(B27)),"Invalid quantity",IF(NOT(ISNUMBER(E27)),"Needs heat input",IF(NOT(ISBLANK(D27)),"Override used","Catalog basis")))))))</f>
        <v/>
      </c>
      <c r="H27" s="1"/>
      <c r="I27" s="12" t="str">
        <f>IF(A27="","",IF(COUNTIF(Components!$A$8:$A$107,A27)&lt;&gt;1,"Select a unique catalog component",VLOOKUP(A27,Components!$A$8:$F$107,6,FALSE)))</f>
        <v/>
      </c>
      <c r="J27" s="1" t="str">
        <f>IF(OR(A27="",COUNTIF(Components!$A$8:$A$107,A27)&lt;&gt;1),"",IF(VLOOKUP(A27,Components!$A$8:$S$107,9,FALSE)="","",VLOOKUP(A27,Components!$A$8:$S$107,9,FALSE)))</f>
        <v/>
      </c>
      <c r="K27" s="14" t="str">
        <f>IF(OR(A27="",COUNTIF(Components!$A$8:$A$107,A27)&lt;&gt;1),"",IF(VLOOKUP(A27,Components!$A$8:$S$107,10,FALSE)="","",VLOOKUP(A27,Components!$A$8:$S$107,10,FALSE)))</f>
        <v/>
      </c>
      <c r="L27" s="14" t="str">
        <f>IF(OR(A27="",COUNTIF(Components!$A$8:$A$107,A27)&lt;&gt;1),"",IF(VLOOKUP(A27,Components!$A$8:$S$107,11,FALSE)="","",VLOOKUP(A27,Components!$A$8:$S$107,11,FALSE)))</f>
        <v/>
      </c>
      <c r="M27" s="14" t="str">
        <f>IF(OR(A27="",COUNTIF(Components!$A$8:$A$107,A27)&lt;&gt;1),"",IF(VLOOKUP(A27,Components!$A$8:$S$107,12,FALSE)="","",VLOOKUP(A27,Components!$A$8:$S$107,12,FALSE)))</f>
        <v/>
      </c>
      <c r="N27" s="15" t="str">
        <f>IF(OR(A27="",COUNTIF(Components!$A$8:$A$107,A27)&lt;&gt;1),"",IF(VLOOKUP(A27,Components!$A$8:$S$107,13,FALSE)="","",VLOOKUP(A27,Components!$A$8:$S$107,13,FALSE)))</f>
        <v/>
      </c>
      <c r="O27" s="15" t="str">
        <f t="shared" si="3"/>
        <v/>
      </c>
      <c r="P27" s="1" t="str">
        <f>IF(OR(A27="",COUNTIF(Components!$A$8:$A$107,A27)&lt;&gt;1),"",IF(VLOOKUP(A27,Components!$A$8:$S$107,14,FALSE)="","",VLOOKUP(A27,Components!$A$8:$S$107,14,FALSE)))</f>
        <v/>
      </c>
      <c r="Q27" s="14" t="str">
        <f>IF(OR(A27="",COUNTIF(Components!$A$8:$A$107,A27)&lt;&gt;1),"",IF(VLOOKUP(A27,Components!$A$8:$S$107,15,FALSE)="","",VLOOKUP(A27,Components!$A$8:$S$107,15,FALSE)))</f>
        <v/>
      </c>
      <c r="R27" s="14" t="str">
        <f>IF(OR(A27="",COUNTIF(Components!$A$8:$A$107,A27)&lt;&gt;1),"",IF(VLOOKUP(A27,Components!$A$8:$S$107,16,FALSE)="","",VLOOKUP(A27,Components!$A$8:$S$107,16,FALSE)))</f>
        <v/>
      </c>
      <c r="S27" s="14" t="str">
        <f>IF(OR(A27="",COUNTIF(Components!$A$8:$A$107,A27)&lt;&gt;1),"",IF(VLOOKUP(A27,Components!$A$8:$S$107,17,FALSE)="","",VLOOKUP(A27,Components!$A$8:$S$107,17,FALSE)))</f>
        <v/>
      </c>
      <c r="T27" s="15" t="str">
        <f>IF(OR(A27="",COUNTIF(Components!$A$8:$A$107,A27)&lt;&gt;1),"",IF(VLOOKUP(A27,Components!$A$8:$S$107,18,FALSE)="","",VLOOKUP(A27,Components!$A$8:$S$107,18,FALSE)))</f>
        <v/>
      </c>
      <c r="U27" s="15" t="str">
        <f t="shared" si="4"/>
        <v/>
      </c>
    </row>
    <row r="28" spans="1:21" ht="48" customHeight="1">
      <c r="A28" s="4"/>
      <c r="B28" s="11"/>
      <c r="C28" s="6" t="str">
        <f>IF(A28="","",IF(COUNTIF(Components!$A$8:$A$107,A28)&lt;&gt;1,"Pending",VLOOKUP(A28,Components!$A$8:$F$107,5,FALSE)))</f>
        <v/>
      </c>
      <c r="D28" s="5"/>
      <c r="E28" s="6" t="str">
        <f t="shared" si="1"/>
        <v/>
      </c>
      <c r="F28" s="6" t="str">
        <f t="shared" si="2"/>
        <v/>
      </c>
      <c r="G28" s="1" t="str">
        <f>IF(A28="",IF(OR(NOT(ISBLANK(B28)),NOT(ISBLANK(D28))),"Needs component",""),IF(COUNTIF(Components!$A$8:$A$107,A28)&lt;&gt;1,"Invalid component",IF(ISBLANK(B28),"Needs quantity",IF(NOT(ISNUMBER(B28)),"Invalid quantity",IF(OR(B28&lt;0,B28&lt;&gt;INT(B28)),"Invalid quantity",IF(NOT(ISNUMBER(E28)),"Needs heat input",IF(NOT(ISBLANK(D28)),"Override used","Catalog basis")))))))</f>
        <v/>
      </c>
      <c r="H28" s="1"/>
      <c r="I28" s="12" t="str">
        <f>IF(A28="","",IF(COUNTIF(Components!$A$8:$A$107,A28)&lt;&gt;1,"Select a unique catalog component",VLOOKUP(A28,Components!$A$8:$F$107,6,FALSE)))</f>
        <v/>
      </c>
      <c r="J28" s="1" t="str">
        <f>IF(OR(A28="",COUNTIF(Components!$A$8:$A$107,A28)&lt;&gt;1),"",IF(VLOOKUP(A28,Components!$A$8:$S$107,9,FALSE)="","",VLOOKUP(A28,Components!$A$8:$S$107,9,FALSE)))</f>
        <v/>
      </c>
      <c r="K28" s="14" t="str">
        <f>IF(OR(A28="",COUNTIF(Components!$A$8:$A$107,A28)&lt;&gt;1),"",IF(VLOOKUP(A28,Components!$A$8:$S$107,10,FALSE)="","",VLOOKUP(A28,Components!$A$8:$S$107,10,FALSE)))</f>
        <v/>
      </c>
      <c r="L28" s="14" t="str">
        <f>IF(OR(A28="",COUNTIF(Components!$A$8:$A$107,A28)&lt;&gt;1),"",IF(VLOOKUP(A28,Components!$A$8:$S$107,11,FALSE)="","",VLOOKUP(A28,Components!$A$8:$S$107,11,FALSE)))</f>
        <v/>
      </c>
      <c r="M28" s="14" t="str">
        <f>IF(OR(A28="",COUNTIF(Components!$A$8:$A$107,A28)&lt;&gt;1),"",IF(VLOOKUP(A28,Components!$A$8:$S$107,12,FALSE)="","",VLOOKUP(A28,Components!$A$8:$S$107,12,FALSE)))</f>
        <v/>
      </c>
      <c r="N28" s="15" t="str">
        <f>IF(OR(A28="",COUNTIF(Components!$A$8:$A$107,A28)&lt;&gt;1),"",IF(VLOOKUP(A28,Components!$A$8:$S$107,13,FALSE)="","",VLOOKUP(A28,Components!$A$8:$S$107,13,FALSE)))</f>
        <v/>
      </c>
      <c r="O28" s="15" t="str">
        <f t="shared" si="3"/>
        <v/>
      </c>
      <c r="P28" s="1" t="str">
        <f>IF(OR(A28="",COUNTIF(Components!$A$8:$A$107,A28)&lt;&gt;1),"",IF(VLOOKUP(A28,Components!$A$8:$S$107,14,FALSE)="","",VLOOKUP(A28,Components!$A$8:$S$107,14,FALSE)))</f>
        <v/>
      </c>
      <c r="Q28" s="14" t="str">
        <f>IF(OR(A28="",COUNTIF(Components!$A$8:$A$107,A28)&lt;&gt;1),"",IF(VLOOKUP(A28,Components!$A$8:$S$107,15,FALSE)="","",VLOOKUP(A28,Components!$A$8:$S$107,15,FALSE)))</f>
        <v/>
      </c>
      <c r="R28" s="14" t="str">
        <f>IF(OR(A28="",COUNTIF(Components!$A$8:$A$107,A28)&lt;&gt;1),"",IF(VLOOKUP(A28,Components!$A$8:$S$107,16,FALSE)="","",VLOOKUP(A28,Components!$A$8:$S$107,16,FALSE)))</f>
        <v/>
      </c>
      <c r="S28" s="14" t="str">
        <f>IF(OR(A28="",COUNTIF(Components!$A$8:$A$107,A28)&lt;&gt;1),"",IF(VLOOKUP(A28,Components!$A$8:$S$107,17,FALSE)="","",VLOOKUP(A28,Components!$A$8:$S$107,17,FALSE)))</f>
        <v/>
      </c>
      <c r="T28" s="15" t="str">
        <f>IF(OR(A28="",COUNTIF(Components!$A$8:$A$107,A28)&lt;&gt;1),"",IF(VLOOKUP(A28,Components!$A$8:$S$107,18,FALSE)="","",VLOOKUP(A28,Components!$A$8:$S$107,18,FALSE)))</f>
        <v/>
      </c>
      <c r="U28" s="15" t="str">
        <f t="shared" si="4"/>
        <v/>
      </c>
    </row>
    <row r="29" spans="1:21" ht="48" customHeight="1">
      <c r="A29" s="4"/>
      <c r="B29" s="11"/>
      <c r="C29" s="6" t="str">
        <f>IF(A29="","",IF(COUNTIF(Components!$A$8:$A$107,A29)&lt;&gt;1,"Pending",VLOOKUP(A29,Components!$A$8:$F$107,5,FALSE)))</f>
        <v/>
      </c>
      <c r="D29" s="5"/>
      <c r="E29" s="6" t="str">
        <f t="shared" si="1"/>
        <v/>
      </c>
      <c r="F29" s="6" t="str">
        <f t="shared" si="2"/>
        <v/>
      </c>
      <c r="G29" s="1" t="str">
        <f>IF(A29="",IF(OR(NOT(ISBLANK(B29)),NOT(ISBLANK(D29))),"Needs component",""),IF(COUNTIF(Components!$A$8:$A$107,A29)&lt;&gt;1,"Invalid component",IF(ISBLANK(B29),"Needs quantity",IF(NOT(ISNUMBER(B29)),"Invalid quantity",IF(OR(B29&lt;0,B29&lt;&gt;INT(B29)),"Invalid quantity",IF(NOT(ISNUMBER(E29)),"Needs heat input",IF(NOT(ISBLANK(D29)),"Override used","Catalog basis")))))))</f>
        <v/>
      </c>
      <c r="H29" s="1"/>
      <c r="I29" s="12" t="str">
        <f>IF(A29="","",IF(COUNTIF(Components!$A$8:$A$107,A29)&lt;&gt;1,"Select a unique catalog component",VLOOKUP(A29,Components!$A$8:$F$107,6,FALSE)))</f>
        <v/>
      </c>
      <c r="J29" s="1" t="str">
        <f>IF(OR(A29="",COUNTIF(Components!$A$8:$A$107,A29)&lt;&gt;1),"",IF(VLOOKUP(A29,Components!$A$8:$S$107,9,FALSE)="","",VLOOKUP(A29,Components!$A$8:$S$107,9,FALSE)))</f>
        <v/>
      </c>
      <c r="K29" s="14" t="str">
        <f>IF(OR(A29="",COUNTIF(Components!$A$8:$A$107,A29)&lt;&gt;1),"",IF(VLOOKUP(A29,Components!$A$8:$S$107,10,FALSE)="","",VLOOKUP(A29,Components!$A$8:$S$107,10,FALSE)))</f>
        <v/>
      </c>
      <c r="L29" s="14" t="str">
        <f>IF(OR(A29="",COUNTIF(Components!$A$8:$A$107,A29)&lt;&gt;1),"",IF(VLOOKUP(A29,Components!$A$8:$S$107,11,FALSE)="","",VLOOKUP(A29,Components!$A$8:$S$107,11,FALSE)))</f>
        <v/>
      </c>
      <c r="M29" s="14" t="str">
        <f>IF(OR(A29="",COUNTIF(Components!$A$8:$A$107,A29)&lt;&gt;1),"",IF(VLOOKUP(A29,Components!$A$8:$S$107,12,FALSE)="","",VLOOKUP(A29,Components!$A$8:$S$107,12,FALSE)))</f>
        <v/>
      </c>
      <c r="N29" s="15" t="str">
        <f>IF(OR(A29="",COUNTIF(Components!$A$8:$A$107,A29)&lt;&gt;1),"",IF(VLOOKUP(A29,Components!$A$8:$S$107,13,FALSE)="","",VLOOKUP(A29,Components!$A$8:$S$107,13,FALSE)))</f>
        <v/>
      </c>
      <c r="O29" s="15" t="str">
        <f t="shared" si="3"/>
        <v/>
      </c>
      <c r="P29" s="1" t="str">
        <f>IF(OR(A29="",COUNTIF(Components!$A$8:$A$107,A29)&lt;&gt;1),"",IF(VLOOKUP(A29,Components!$A$8:$S$107,14,FALSE)="","",VLOOKUP(A29,Components!$A$8:$S$107,14,FALSE)))</f>
        <v/>
      </c>
      <c r="Q29" s="14" t="str">
        <f>IF(OR(A29="",COUNTIF(Components!$A$8:$A$107,A29)&lt;&gt;1),"",IF(VLOOKUP(A29,Components!$A$8:$S$107,15,FALSE)="","",VLOOKUP(A29,Components!$A$8:$S$107,15,FALSE)))</f>
        <v/>
      </c>
      <c r="R29" s="14" t="str">
        <f>IF(OR(A29="",COUNTIF(Components!$A$8:$A$107,A29)&lt;&gt;1),"",IF(VLOOKUP(A29,Components!$A$8:$S$107,16,FALSE)="","",VLOOKUP(A29,Components!$A$8:$S$107,16,FALSE)))</f>
        <v/>
      </c>
      <c r="S29" s="14" t="str">
        <f>IF(OR(A29="",COUNTIF(Components!$A$8:$A$107,A29)&lt;&gt;1),"",IF(VLOOKUP(A29,Components!$A$8:$S$107,17,FALSE)="","",VLOOKUP(A29,Components!$A$8:$S$107,17,FALSE)))</f>
        <v/>
      </c>
      <c r="T29" s="15" t="str">
        <f>IF(OR(A29="",COUNTIF(Components!$A$8:$A$107,A29)&lt;&gt;1),"",IF(VLOOKUP(A29,Components!$A$8:$S$107,18,FALSE)="","",VLOOKUP(A29,Components!$A$8:$S$107,18,FALSE)))</f>
        <v/>
      </c>
      <c r="U29" s="15" t="str">
        <f t="shared" si="4"/>
        <v/>
      </c>
    </row>
    <row r="30" spans="1:21" ht="48" customHeight="1">
      <c r="A30" s="4"/>
      <c r="B30" s="11"/>
      <c r="C30" s="6" t="str">
        <f>IF(A30="","",IF(COUNTIF(Components!$A$8:$A$107,A30)&lt;&gt;1,"Pending",VLOOKUP(A30,Components!$A$8:$F$107,5,FALSE)))</f>
        <v/>
      </c>
      <c r="D30" s="5"/>
      <c r="E30" s="6" t="str">
        <f t="shared" si="1"/>
        <v/>
      </c>
      <c r="F30" s="6" t="str">
        <f t="shared" si="2"/>
        <v/>
      </c>
      <c r="G30" s="1" t="str">
        <f>IF(A30="",IF(OR(NOT(ISBLANK(B30)),NOT(ISBLANK(D30))),"Needs component",""),IF(COUNTIF(Components!$A$8:$A$107,A30)&lt;&gt;1,"Invalid component",IF(ISBLANK(B30),"Needs quantity",IF(NOT(ISNUMBER(B30)),"Invalid quantity",IF(OR(B30&lt;0,B30&lt;&gt;INT(B30)),"Invalid quantity",IF(NOT(ISNUMBER(E30)),"Needs heat input",IF(NOT(ISBLANK(D30)),"Override used","Catalog basis")))))))</f>
        <v/>
      </c>
      <c r="H30" s="1"/>
      <c r="I30" s="12" t="str">
        <f>IF(A30="","",IF(COUNTIF(Components!$A$8:$A$107,A30)&lt;&gt;1,"Select a unique catalog component",VLOOKUP(A30,Components!$A$8:$F$107,6,FALSE)))</f>
        <v/>
      </c>
      <c r="J30" s="1" t="str">
        <f>IF(OR(A30="",COUNTIF(Components!$A$8:$A$107,A30)&lt;&gt;1),"",IF(VLOOKUP(A30,Components!$A$8:$S$107,9,FALSE)="","",VLOOKUP(A30,Components!$A$8:$S$107,9,FALSE)))</f>
        <v/>
      </c>
      <c r="K30" s="14" t="str">
        <f>IF(OR(A30="",COUNTIF(Components!$A$8:$A$107,A30)&lt;&gt;1),"",IF(VLOOKUP(A30,Components!$A$8:$S$107,10,FALSE)="","",VLOOKUP(A30,Components!$A$8:$S$107,10,FALSE)))</f>
        <v/>
      </c>
      <c r="L30" s="14" t="str">
        <f>IF(OR(A30="",COUNTIF(Components!$A$8:$A$107,A30)&lt;&gt;1),"",IF(VLOOKUP(A30,Components!$A$8:$S$107,11,FALSE)="","",VLOOKUP(A30,Components!$A$8:$S$107,11,FALSE)))</f>
        <v/>
      </c>
      <c r="M30" s="14" t="str">
        <f>IF(OR(A30="",COUNTIF(Components!$A$8:$A$107,A30)&lt;&gt;1),"",IF(VLOOKUP(A30,Components!$A$8:$S$107,12,FALSE)="","",VLOOKUP(A30,Components!$A$8:$S$107,12,FALSE)))</f>
        <v/>
      </c>
      <c r="N30" s="15" t="str">
        <f>IF(OR(A30="",COUNTIF(Components!$A$8:$A$107,A30)&lt;&gt;1),"",IF(VLOOKUP(A30,Components!$A$8:$S$107,13,FALSE)="","",VLOOKUP(A30,Components!$A$8:$S$107,13,FALSE)))</f>
        <v/>
      </c>
      <c r="O30" s="15" t="str">
        <f t="shared" si="3"/>
        <v/>
      </c>
      <c r="P30" s="1" t="str">
        <f>IF(OR(A30="",COUNTIF(Components!$A$8:$A$107,A30)&lt;&gt;1),"",IF(VLOOKUP(A30,Components!$A$8:$S$107,14,FALSE)="","",VLOOKUP(A30,Components!$A$8:$S$107,14,FALSE)))</f>
        <v/>
      </c>
      <c r="Q30" s="14" t="str">
        <f>IF(OR(A30="",COUNTIF(Components!$A$8:$A$107,A30)&lt;&gt;1),"",IF(VLOOKUP(A30,Components!$A$8:$S$107,15,FALSE)="","",VLOOKUP(A30,Components!$A$8:$S$107,15,FALSE)))</f>
        <v/>
      </c>
      <c r="R30" s="14" t="str">
        <f>IF(OR(A30="",COUNTIF(Components!$A$8:$A$107,A30)&lt;&gt;1),"",IF(VLOOKUP(A30,Components!$A$8:$S$107,16,FALSE)="","",VLOOKUP(A30,Components!$A$8:$S$107,16,FALSE)))</f>
        <v/>
      </c>
      <c r="S30" s="14" t="str">
        <f>IF(OR(A30="",COUNTIF(Components!$A$8:$A$107,A30)&lt;&gt;1),"",IF(VLOOKUP(A30,Components!$A$8:$S$107,17,FALSE)="","",VLOOKUP(A30,Components!$A$8:$S$107,17,FALSE)))</f>
        <v/>
      </c>
      <c r="T30" s="15" t="str">
        <f>IF(OR(A30="",COUNTIF(Components!$A$8:$A$107,A30)&lt;&gt;1),"",IF(VLOOKUP(A30,Components!$A$8:$S$107,18,FALSE)="","",VLOOKUP(A30,Components!$A$8:$S$107,18,FALSE)))</f>
        <v/>
      </c>
      <c r="U30" s="15" t="str">
        <f t="shared" si="4"/>
        <v/>
      </c>
    </row>
    <row r="31" spans="1:21" ht="48" customHeight="1">
      <c r="A31" s="4"/>
      <c r="B31" s="11"/>
      <c r="C31" s="6" t="str">
        <f>IF(A31="","",IF(COUNTIF(Components!$A$8:$A$107,A31)&lt;&gt;1,"Pending",VLOOKUP(A31,Components!$A$8:$F$107,5,FALSE)))</f>
        <v/>
      </c>
      <c r="D31" s="5"/>
      <c r="E31" s="6" t="str">
        <f t="shared" si="1"/>
        <v/>
      </c>
      <c r="F31" s="6" t="str">
        <f t="shared" si="2"/>
        <v/>
      </c>
      <c r="G31" s="1" t="str">
        <f>IF(A31="",IF(OR(NOT(ISBLANK(B31)),NOT(ISBLANK(D31))),"Needs component",""),IF(COUNTIF(Components!$A$8:$A$107,A31)&lt;&gt;1,"Invalid component",IF(ISBLANK(B31),"Needs quantity",IF(NOT(ISNUMBER(B31)),"Invalid quantity",IF(OR(B31&lt;0,B31&lt;&gt;INT(B31)),"Invalid quantity",IF(NOT(ISNUMBER(E31)),"Needs heat input",IF(NOT(ISBLANK(D31)),"Override used","Catalog basis")))))))</f>
        <v/>
      </c>
      <c r="H31" s="1"/>
      <c r="I31" s="12" t="str">
        <f>IF(A31="","",IF(COUNTIF(Components!$A$8:$A$107,A31)&lt;&gt;1,"Select a unique catalog component",VLOOKUP(A31,Components!$A$8:$F$107,6,FALSE)))</f>
        <v/>
      </c>
      <c r="J31" s="1" t="str">
        <f>IF(OR(A31="",COUNTIF(Components!$A$8:$A$107,A31)&lt;&gt;1),"",IF(VLOOKUP(A31,Components!$A$8:$S$107,9,FALSE)="","",VLOOKUP(A31,Components!$A$8:$S$107,9,FALSE)))</f>
        <v/>
      </c>
      <c r="K31" s="14" t="str">
        <f>IF(OR(A31="",COUNTIF(Components!$A$8:$A$107,A31)&lt;&gt;1),"",IF(VLOOKUP(A31,Components!$A$8:$S$107,10,FALSE)="","",VLOOKUP(A31,Components!$A$8:$S$107,10,FALSE)))</f>
        <v/>
      </c>
      <c r="L31" s="14" t="str">
        <f>IF(OR(A31="",COUNTIF(Components!$A$8:$A$107,A31)&lt;&gt;1),"",IF(VLOOKUP(A31,Components!$A$8:$S$107,11,FALSE)="","",VLOOKUP(A31,Components!$A$8:$S$107,11,FALSE)))</f>
        <v/>
      </c>
      <c r="M31" s="14" t="str">
        <f>IF(OR(A31="",COUNTIF(Components!$A$8:$A$107,A31)&lt;&gt;1),"",IF(VLOOKUP(A31,Components!$A$8:$S$107,12,FALSE)="","",VLOOKUP(A31,Components!$A$8:$S$107,12,FALSE)))</f>
        <v/>
      </c>
      <c r="N31" s="15" t="str">
        <f>IF(OR(A31="",COUNTIF(Components!$A$8:$A$107,A31)&lt;&gt;1),"",IF(VLOOKUP(A31,Components!$A$8:$S$107,13,FALSE)="","",VLOOKUP(A31,Components!$A$8:$S$107,13,FALSE)))</f>
        <v/>
      </c>
      <c r="O31" s="15" t="str">
        <f t="shared" si="3"/>
        <v/>
      </c>
      <c r="P31" s="1" t="str">
        <f>IF(OR(A31="",COUNTIF(Components!$A$8:$A$107,A31)&lt;&gt;1),"",IF(VLOOKUP(A31,Components!$A$8:$S$107,14,FALSE)="","",VLOOKUP(A31,Components!$A$8:$S$107,14,FALSE)))</f>
        <v/>
      </c>
      <c r="Q31" s="14" t="str">
        <f>IF(OR(A31="",COUNTIF(Components!$A$8:$A$107,A31)&lt;&gt;1),"",IF(VLOOKUP(A31,Components!$A$8:$S$107,15,FALSE)="","",VLOOKUP(A31,Components!$A$8:$S$107,15,FALSE)))</f>
        <v/>
      </c>
      <c r="R31" s="14" t="str">
        <f>IF(OR(A31="",COUNTIF(Components!$A$8:$A$107,A31)&lt;&gt;1),"",IF(VLOOKUP(A31,Components!$A$8:$S$107,16,FALSE)="","",VLOOKUP(A31,Components!$A$8:$S$107,16,FALSE)))</f>
        <v/>
      </c>
      <c r="S31" s="14" t="str">
        <f>IF(OR(A31="",COUNTIF(Components!$A$8:$A$107,A31)&lt;&gt;1),"",IF(VLOOKUP(A31,Components!$A$8:$S$107,17,FALSE)="","",VLOOKUP(A31,Components!$A$8:$S$107,17,FALSE)))</f>
        <v/>
      </c>
      <c r="T31" s="15" t="str">
        <f>IF(OR(A31="",COUNTIF(Components!$A$8:$A$107,A31)&lt;&gt;1),"",IF(VLOOKUP(A31,Components!$A$8:$S$107,18,FALSE)="","",VLOOKUP(A31,Components!$A$8:$S$107,18,FALSE)))</f>
        <v/>
      </c>
      <c r="U31" s="15" t="str">
        <f t="shared" si="4"/>
        <v/>
      </c>
    </row>
    <row r="32" spans="1:21" ht="48" customHeight="1">
      <c r="A32" s="4"/>
      <c r="B32" s="11"/>
      <c r="C32" s="6" t="str">
        <f>IF(A32="","",IF(COUNTIF(Components!$A$8:$A$107,A32)&lt;&gt;1,"Pending",VLOOKUP(A32,Components!$A$8:$F$107,5,FALSE)))</f>
        <v/>
      </c>
      <c r="D32" s="5"/>
      <c r="E32" s="6" t="str">
        <f t="shared" si="1"/>
        <v/>
      </c>
      <c r="F32" s="6" t="str">
        <f t="shared" si="2"/>
        <v/>
      </c>
      <c r="G32" s="1" t="str">
        <f>IF(A32="",IF(OR(NOT(ISBLANK(B32)),NOT(ISBLANK(D32))),"Needs component",""),IF(COUNTIF(Components!$A$8:$A$107,A32)&lt;&gt;1,"Invalid component",IF(ISBLANK(B32),"Needs quantity",IF(NOT(ISNUMBER(B32)),"Invalid quantity",IF(OR(B32&lt;0,B32&lt;&gt;INT(B32)),"Invalid quantity",IF(NOT(ISNUMBER(E32)),"Needs heat input",IF(NOT(ISBLANK(D32)),"Override used","Catalog basis")))))))</f>
        <v/>
      </c>
      <c r="H32" s="1"/>
      <c r="I32" s="12" t="str">
        <f>IF(A32="","",IF(COUNTIF(Components!$A$8:$A$107,A32)&lt;&gt;1,"Select a unique catalog component",VLOOKUP(A32,Components!$A$8:$F$107,6,FALSE)))</f>
        <v/>
      </c>
      <c r="J32" s="1" t="str">
        <f>IF(OR(A32="",COUNTIF(Components!$A$8:$A$107,A32)&lt;&gt;1),"",IF(VLOOKUP(A32,Components!$A$8:$S$107,9,FALSE)="","",VLOOKUP(A32,Components!$A$8:$S$107,9,FALSE)))</f>
        <v/>
      </c>
      <c r="K32" s="14" t="str">
        <f>IF(OR(A32="",COUNTIF(Components!$A$8:$A$107,A32)&lt;&gt;1),"",IF(VLOOKUP(A32,Components!$A$8:$S$107,10,FALSE)="","",VLOOKUP(A32,Components!$A$8:$S$107,10,FALSE)))</f>
        <v/>
      </c>
      <c r="L32" s="14" t="str">
        <f>IF(OR(A32="",COUNTIF(Components!$A$8:$A$107,A32)&lt;&gt;1),"",IF(VLOOKUP(A32,Components!$A$8:$S$107,11,FALSE)="","",VLOOKUP(A32,Components!$A$8:$S$107,11,FALSE)))</f>
        <v/>
      </c>
      <c r="M32" s="14" t="str">
        <f>IF(OR(A32="",COUNTIF(Components!$A$8:$A$107,A32)&lt;&gt;1),"",IF(VLOOKUP(A32,Components!$A$8:$S$107,12,FALSE)="","",VLOOKUP(A32,Components!$A$8:$S$107,12,FALSE)))</f>
        <v/>
      </c>
      <c r="N32" s="15" t="str">
        <f>IF(OR(A32="",COUNTIF(Components!$A$8:$A$107,A32)&lt;&gt;1),"",IF(VLOOKUP(A32,Components!$A$8:$S$107,13,FALSE)="","",VLOOKUP(A32,Components!$A$8:$S$107,13,FALSE)))</f>
        <v/>
      </c>
      <c r="O32" s="15" t="str">
        <f t="shared" si="3"/>
        <v/>
      </c>
      <c r="P32" s="1" t="str">
        <f>IF(OR(A32="",COUNTIF(Components!$A$8:$A$107,A32)&lt;&gt;1),"",IF(VLOOKUP(A32,Components!$A$8:$S$107,14,FALSE)="","",VLOOKUP(A32,Components!$A$8:$S$107,14,FALSE)))</f>
        <v/>
      </c>
      <c r="Q32" s="14" t="str">
        <f>IF(OR(A32="",COUNTIF(Components!$A$8:$A$107,A32)&lt;&gt;1),"",IF(VLOOKUP(A32,Components!$A$8:$S$107,15,FALSE)="","",VLOOKUP(A32,Components!$A$8:$S$107,15,FALSE)))</f>
        <v/>
      </c>
      <c r="R32" s="14" t="str">
        <f>IF(OR(A32="",COUNTIF(Components!$A$8:$A$107,A32)&lt;&gt;1),"",IF(VLOOKUP(A32,Components!$A$8:$S$107,16,FALSE)="","",VLOOKUP(A32,Components!$A$8:$S$107,16,FALSE)))</f>
        <v/>
      </c>
      <c r="S32" s="14" t="str">
        <f>IF(OR(A32="",COUNTIF(Components!$A$8:$A$107,A32)&lt;&gt;1),"",IF(VLOOKUP(A32,Components!$A$8:$S$107,17,FALSE)="","",VLOOKUP(A32,Components!$A$8:$S$107,17,FALSE)))</f>
        <v/>
      </c>
      <c r="T32" s="15" t="str">
        <f>IF(OR(A32="",COUNTIF(Components!$A$8:$A$107,A32)&lt;&gt;1),"",IF(VLOOKUP(A32,Components!$A$8:$S$107,18,FALSE)="","",VLOOKUP(A32,Components!$A$8:$S$107,18,FALSE)))</f>
        <v/>
      </c>
      <c r="U32" s="15" t="str">
        <f t="shared" si="4"/>
        <v/>
      </c>
    </row>
    <row r="33" spans="1:21" ht="48" customHeight="1">
      <c r="A33" s="4"/>
      <c r="B33" s="11"/>
      <c r="C33" s="6" t="str">
        <f>IF(A33="","",IF(COUNTIF(Components!$A$8:$A$107,A33)&lt;&gt;1,"Pending",VLOOKUP(A33,Components!$A$8:$F$107,5,FALSE)))</f>
        <v/>
      </c>
      <c r="D33" s="5"/>
      <c r="E33" s="6" t="str">
        <f t="shared" si="1"/>
        <v/>
      </c>
      <c r="F33" s="6" t="str">
        <f t="shared" si="2"/>
        <v/>
      </c>
      <c r="G33" s="1" t="str">
        <f>IF(A33="",IF(OR(NOT(ISBLANK(B33)),NOT(ISBLANK(D33))),"Needs component",""),IF(COUNTIF(Components!$A$8:$A$107,A33)&lt;&gt;1,"Invalid component",IF(ISBLANK(B33),"Needs quantity",IF(NOT(ISNUMBER(B33)),"Invalid quantity",IF(OR(B33&lt;0,B33&lt;&gt;INT(B33)),"Invalid quantity",IF(NOT(ISNUMBER(E33)),"Needs heat input",IF(NOT(ISBLANK(D33)),"Override used","Catalog basis")))))))</f>
        <v/>
      </c>
      <c r="H33" s="1"/>
      <c r="I33" s="12" t="str">
        <f>IF(A33="","",IF(COUNTIF(Components!$A$8:$A$107,A33)&lt;&gt;1,"Select a unique catalog component",VLOOKUP(A33,Components!$A$8:$F$107,6,FALSE)))</f>
        <v/>
      </c>
      <c r="J33" s="1" t="str">
        <f>IF(OR(A33="",COUNTIF(Components!$A$8:$A$107,A33)&lt;&gt;1),"",IF(VLOOKUP(A33,Components!$A$8:$S$107,9,FALSE)="","",VLOOKUP(A33,Components!$A$8:$S$107,9,FALSE)))</f>
        <v/>
      </c>
      <c r="K33" s="14" t="str">
        <f>IF(OR(A33="",COUNTIF(Components!$A$8:$A$107,A33)&lt;&gt;1),"",IF(VLOOKUP(A33,Components!$A$8:$S$107,10,FALSE)="","",VLOOKUP(A33,Components!$A$8:$S$107,10,FALSE)))</f>
        <v/>
      </c>
      <c r="L33" s="14" t="str">
        <f>IF(OR(A33="",COUNTIF(Components!$A$8:$A$107,A33)&lt;&gt;1),"",IF(VLOOKUP(A33,Components!$A$8:$S$107,11,FALSE)="","",VLOOKUP(A33,Components!$A$8:$S$107,11,FALSE)))</f>
        <v/>
      </c>
      <c r="M33" s="14" t="str">
        <f>IF(OR(A33="",COUNTIF(Components!$A$8:$A$107,A33)&lt;&gt;1),"",IF(VLOOKUP(A33,Components!$A$8:$S$107,12,FALSE)="","",VLOOKUP(A33,Components!$A$8:$S$107,12,FALSE)))</f>
        <v/>
      </c>
      <c r="N33" s="15" t="str">
        <f>IF(OR(A33="",COUNTIF(Components!$A$8:$A$107,A33)&lt;&gt;1),"",IF(VLOOKUP(A33,Components!$A$8:$S$107,13,FALSE)="","",VLOOKUP(A33,Components!$A$8:$S$107,13,FALSE)))</f>
        <v/>
      </c>
      <c r="O33" s="15" t="str">
        <f t="shared" si="3"/>
        <v/>
      </c>
      <c r="P33" s="1" t="str">
        <f>IF(OR(A33="",COUNTIF(Components!$A$8:$A$107,A33)&lt;&gt;1),"",IF(VLOOKUP(A33,Components!$A$8:$S$107,14,FALSE)="","",VLOOKUP(A33,Components!$A$8:$S$107,14,FALSE)))</f>
        <v/>
      </c>
      <c r="Q33" s="14" t="str">
        <f>IF(OR(A33="",COUNTIF(Components!$A$8:$A$107,A33)&lt;&gt;1),"",IF(VLOOKUP(A33,Components!$A$8:$S$107,15,FALSE)="","",VLOOKUP(A33,Components!$A$8:$S$107,15,FALSE)))</f>
        <v/>
      </c>
      <c r="R33" s="14" t="str">
        <f>IF(OR(A33="",COUNTIF(Components!$A$8:$A$107,A33)&lt;&gt;1),"",IF(VLOOKUP(A33,Components!$A$8:$S$107,16,FALSE)="","",VLOOKUP(A33,Components!$A$8:$S$107,16,FALSE)))</f>
        <v/>
      </c>
      <c r="S33" s="14" t="str">
        <f>IF(OR(A33="",COUNTIF(Components!$A$8:$A$107,A33)&lt;&gt;1),"",IF(VLOOKUP(A33,Components!$A$8:$S$107,17,FALSE)="","",VLOOKUP(A33,Components!$A$8:$S$107,17,FALSE)))</f>
        <v/>
      </c>
      <c r="T33" s="15" t="str">
        <f>IF(OR(A33="",COUNTIF(Components!$A$8:$A$107,A33)&lt;&gt;1),"",IF(VLOOKUP(A33,Components!$A$8:$S$107,18,FALSE)="","",VLOOKUP(A33,Components!$A$8:$S$107,18,FALSE)))</f>
        <v/>
      </c>
      <c r="U33" s="15" t="str">
        <f t="shared" si="4"/>
        <v/>
      </c>
    </row>
    <row r="34" spans="1:21" ht="48" customHeight="1">
      <c r="A34" s="4"/>
      <c r="B34" s="11"/>
      <c r="C34" s="6" t="str">
        <f>IF(A34="","",IF(COUNTIF(Components!$A$8:$A$107,A34)&lt;&gt;1,"Pending",VLOOKUP(A34,Components!$A$8:$F$107,5,FALSE)))</f>
        <v/>
      </c>
      <c r="D34" s="5"/>
      <c r="E34" s="6" t="str">
        <f t="shared" si="1"/>
        <v/>
      </c>
      <c r="F34" s="6" t="str">
        <f t="shared" si="2"/>
        <v/>
      </c>
      <c r="G34" s="1" t="str">
        <f>IF(A34="",IF(OR(NOT(ISBLANK(B34)),NOT(ISBLANK(D34))),"Needs component",""),IF(COUNTIF(Components!$A$8:$A$107,A34)&lt;&gt;1,"Invalid component",IF(ISBLANK(B34),"Needs quantity",IF(NOT(ISNUMBER(B34)),"Invalid quantity",IF(OR(B34&lt;0,B34&lt;&gt;INT(B34)),"Invalid quantity",IF(NOT(ISNUMBER(E34)),"Needs heat input",IF(NOT(ISBLANK(D34)),"Override used","Catalog basis")))))))</f>
        <v/>
      </c>
      <c r="H34" s="1"/>
      <c r="I34" s="12" t="str">
        <f>IF(A34="","",IF(COUNTIF(Components!$A$8:$A$107,A34)&lt;&gt;1,"Select a unique catalog component",VLOOKUP(A34,Components!$A$8:$F$107,6,FALSE)))</f>
        <v/>
      </c>
      <c r="J34" s="1" t="str">
        <f>IF(OR(A34="",COUNTIF(Components!$A$8:$A$107,A34)&lt;&gt;1),"",IF(VLOOKUP(A34,Components!$A$8:$S$107,9,FALSE)="","",VLOOKUP(A34,Components!$A$8:$S$107,9,FALSE)))</f>
        <v/>
      </c>
      <c r="K34" s="14" t="str">
        <f>IF(OR(A34="",COUNTIF(Components!$A$8:$A$107,A34)&lt;&gt;1),"",IF(VLOOKUP(A34,Components!$A$8:$S$107,10,FALSE)="","",VLOOKUP(A34,Components!$A$8:$S$107,10,FALSE)))</f>
        <v/>
      </c>
      <c r="L34" s="14" t="str">
        <f>IF(OR(A34="",COUNTIF(Components!$A$8:$A$107,A34)&lt;&gt;1),"",IF(VLOOKUP(A34,Components!$A$8:$S$107,11,FALSE)="","",VLOOKUP(A34,Components!$A$8:$S$107,11,FALSE)))</f>
        <v/>
      </c>
      <c r="M34" s="14" t="str">
        <f>IF(OR(A34="",COUNTIF(Components!$A$8:$A$107,A34)&lt;&gt;1),"",IF(VLOOKUP(A34,Components!$A$8:$S$107,12,FALSE)="","",VLOOKUP(A34,Components!$A$8:$S$107,12,FALSE)))</f>
        <v/>
      </c>
      <c r="N34" s="15" t="str">
        <f>IF(OR(A34="",COUNTIF(Components!$A$8:$A$107,A34)&lt;&gt;1),"",IF(VLOOKUP(A34,Components!$A$8:$S$107,13,FALSE)="","",VLOOKUP(A34,Components!$A$8:$S$107,13,FALSE)))</f>
        <v/>
      </c>
      <c r="O34" s="15" t="str">
        <f t="shared" si="3"/>
        <v/>
      </c>
      <c r="P34" s="1" t="str">
        <f>IF(OR(A34="",COUNTIF(Components!$A$8:$A$107,A34)&lt;&gt;1),"",IF(VLOOKUP(A34,Components!$A$8:$S$107,14,FALSE)="","",VLOOKUP(A34,Components!$A$8:$S$107,14,FALSE)))</f>
        <v/>
      </c>
      <c r="Q34" s="14" t="str">
        <f>IF(OR(A34="",COUNTIF(Components!$A$8:$A$107,A34)&lt;&gt;1),"",IF(VLOOKUP(A34,Components!$A$8:$S$107,15,FALSE)="","",VLOOKUP(A34,Components!$A$8:$S$107,15,FALSE)))</f>
        <v/>
      </c>
      <c r="R34" s="14" t="str">
        <f>IF(OR(A34="",COUNTIF(Components!$A$8:$A$107,A34)&lt;&gt;1),"",IF(VLOOKUP(A34,Components!$A$8:$S$107,16,FALSE)="","",VLOOKUP(A34,Components!$A$8:$S$107,16,FALSE)))</f>
        <v/>
      </c>
      <c r="S34" s="14" t="str">
        <f>IF(OR(A34="",COUNTIF(Components!$A$8:$A$107,A34)&lt;&gt;1),"",IF(VLOOKUP(A34,Components!$A$8:$S$107,17,FALSE)="","",VLOOKUP(A34,Components!$A$8:$S$107,17,FALSE)))</f>
        <v/>
      </c>
      <c r="T34" s="15" t="str">
        <f>IF(OR(A34="",COUNTIF(Components!$A$8:$A$107,A34)&lt;&gt;1),"",IF(VLOOKUP(A34,Components!$A$8:$S$107,18,FALSE)="","",VLOOKUP(A34,Components!$A$8:$S$107,18,FALSE)))</f>
        <v/>
      </c>
      <c r="U34" s="15" t="str">
        <f t="shared" si="4"/>
        <v/>
      </c>
    </row>
    <row r="35" spans="1:21" ht="48" customHeight="1">
      <c r="A35" s="4"/>
      <c r="B35" s="11"/>
      <c r="C35" s="6" t="str">
        <f>IF(A35="","",IF(COUNTIF(Components!$A$8:$A$107,A35)&lt;&gt;1,"Pending",VLOOKUP(A35,Components!$A$8:$F$107,5,FALSE)))</f>
        <v/>
      </c>
      <c r="D35" s="5"/>
      <c r="E35" s="6" t="str">
        <f t="shared" si="1"/>
        <v/>
      </c>
      <c r="F35" s="6" t="str">
        <f t="shared" si="2"/>
        <v/>
      </c>
      <c r="G35" s="1" t="str">
        <f>IF(A35="",IF(OR(NOT(ISBLANK(B35)),NOT(ISBLANK(D35))),"Needs component",""),IF(COUNTIF(Components!$A$8:$A$107,A35)&lt;&gt;1,"Invalid component",IF(ISBLANK(B35),"Needs quantity",IF(NOT(ISNUMBER(B35)),"Invalid quantity",IF(OR(B35&lt;0,B35&lt;&gt;INT(B35)),"Invalid quantity",IF(NOT(ISNUMBER(E35)),"Needs heat input",IF(NOT(ISBLANK(D35)),"Override used","Catalog basis")))))))</f>
        <v/>
      </c>
      <c r="H35" s="1"/>
      <c r="I35" s="12" t="str">
        <f>IF(A35="","",IF(COUNTIF(Components!$A$8:$A$107,A35)&lt;&gt;1,"Select a unique catalog component",VLOOKUP(A35,Components!$A$8:$F$107,6,FALSE)))</f>
        <v/>
      </c>
      <c r="J35" s="1" t="str">
        <f>IF(OR(A35="",COUNTIF(Components!$A$8:$A$107,A35)&lt;&gt;1),"",IF(VLOOKUP(A35,Components!$A$8:$S$107,9,FALSE)="","",VLOOKUP(A35,Components!$A$8:$S$107,9,FALSE)))</f>
        <v/>
      </c>
      <c r="K35" s="14" t="str">
        <f>IF(OR(A35="",COUNTIF(Components!$A$8:$A$107,A35)&lt;&gt;1),"",IF(VLOOKUP(A35,Components!$A$8:$S$107,10,FALSE)="","",VLOOKUP(A35,Components!$A$8:$S$107,10,FALSE)))</f>
        <v/>
      </c>
      <c r="L35" s="14" t="str">
        <f>IF(OR(A35="",COUNTIF(Components!$A$8:$A$107,A35)&lt;&gt;1),"",IF(VLOOKUP(A35,Components!$A$8:$S$107,11,FALSE)="","",VLOOKUP(A35,Components!$A$8:$S$107,11,FALSE)))</f>
        <v/>
      </c>
      <c r="M35" s="14" t="str">
        <f>IF(OR(A35="",COUNTIF(Components!$A$8:$A$107,A35)&lt;&gt;1),"",IF(VLOOKUP(A35,Components!$A$8:$S$107,12,FALSE)="","",VLOOKUP(A35,Components!$A$8:$S$107,12,FALSE)))</f>
        <v/>
      </c>
      <c r="N35" s="15" t="str">
        <f>IF(OR(A35="",COUNTIF(Components!$A$8:$A$107,A35)&lt;&gt;1),"",IF(VLOOKUP(A35,Components!$A$8:$S$107,13,FALSE)="","",VLOOKUP(A35,Components!$A$8:$S$107,13,FALSE)))</f>
        <v/>
      </c>
      <c r="O35" s="15" t="str">
        <f t="shared" si="3"/>
        <v/>
      </c>
      <c r="P35" s="1" t="str">
        <f>IF(OR(A35="",COUNTIF(Components!$A$8:$A$107,A35)&lt;&gt;1),"",IF(VLOOKUP(A35,Components!$A$8:$S$107,14,FALSE)="","",VLOOKUP(A35,Components!$A$8:$S$107,14,FALSE)))</f>
        <v/>
      </c>
      <c r="Q35" s="14" t="str">
        <f>IF(OR(A35="",COUNTIF(Components!$A$8:$A$107,A35)&lt;&gt;1),"",IF(VLOOKUP(A35,Components!$A$8:$S$107,15,FALSE)="","",VLOOKUP(A35,Components!$A$8:$S$107,15,FALSE)))</f>
        <v/>
      </c>
      <c r="R35" s="14" t="str">
        <f>IF(OR(A35="",COUNTIF(Components!$A$8:$A$107,A35)&lt;&gt;1),"",IF(VLOOKUP(A35,Components!$A$8:$S$107,16,FALSE)="","",VLOOKUP(A35,Components!$A$8:$S$107,16,FALSE)))</f>
        <v/>
      </c>
      <c r="S35" s="14" t="str">
        <f>IF(OR(A35="",COUNTIF(Components!$A$8:$A$107,A35)&lt;&gt;1),"",IF(VLOOKUP(A35,Components!$A$8:$S$107,17,FALSE)="","",VLOOKUP(A35,Components!$A$8:$S$107,17,FALSE)))</f>
        <v/>
      </c>
      <c r="T35" s="15" t="str">
        <f>IF(OR(A35="",COUNTIF(Components!$A$8:$A$107,A35)&lt;&gt;1),"",IF(VLOOKUP(A35,Components!$A$8:$S$107,18,FALSE)="","",VLOOKUP(A35,Components!$A$8:$S$107,18,FALSE)))</f>
        <v/>
      </c>
      <c r="U35" s="15" t="str">
        <f t="shared" si="4"/>
        <v/>
      </c>
    </row>
    <row r="36" spans="1:21" ht="48" customHeight="1">
      <c r="A36" s="4"/>
      <c r="B36" s="11"/>
      <c r="C36" s="6" t="str">
        <f>IF(A36="","",IF(COUNTIF(Components!$A$8:$A$107,A36)&lt;&gt;1,"Pending",VLOOKUP(A36,Components!$A$8:$F$107,5,FALSE)))</f>
        <v/>
      </c>
      <c r="D36" s="5"/>
      <c r="E36" s="6" t="str">
        <f t="shared" si="1"/>
        <v/>
      </c>
      <c r="F36" s="6" t="str">
        <f t="shared" si="2"/>
        <v/>
      </c>
      <c r="G36" s="1" t="str">
        <f>IF(A36="",IF(OR(NOT(ISBLANK(B36)),NOT(ISBLANK(D36))),"Needs component",""),IF(COUNTIF(Components!$A$8:$A$107,A36)&lt;&gt;1,"Invalid component",IF(ISBLANK(B36),"Needs quantity",IF(NOT(ISNUMBER(B36)),"Invalid quantity",IF(OR(B36&lt;0,B36&lt;&gt;INT(B36)),"Invalid quantity",IF(NOT(ISNUMBER(E36)),"Needs heat input",IF(NOT(ISBLANK(D36)),"Override used","Catalog basis")))))))</f>
        <v/>
      </c>
      <c r="H36" s="1"/>
      <c r="I36" s="12" t="str">
        <f>IF(A36="","",IF(COUNTIF(Components!$A$8:$A$107,A36)&lt;&gt;1,"Select a unique catalog component",VLOOKUP(A36,Components!$A$8:$F$107,6,FALSE)))</f>
        <v/>
      </c>
      <c r="J36" s="1" t="str">
        <f>IF(OR(A36="",COUNTIF(Components!$A$8:$A$107,A36)&lt;&gt;1),"",IF(VLOOKUP(A36,Components!$A$8:$S$107,9,FALSE)="","",VLOOKUP(A36,Components!$A$8:$S$107,9,FALSE)))</f>
        <v/>
      </c>
      <c r="K36" s="14" t="str">
        <f>IF(OR(A36="",COUNTIF(Components!$A$8:$A$107,A36)&lt;&gt;1),"",IF(VLOOKUP(A36,Components!$A$8:$S$107,10,FALSE)="","",VLOOKUP(A36,Components!$A$8:$S$107,10,FALSE)))</f>
        <v/>
      </c>
      <c r="L36" s="14" t="str">
        <f>IF(OR(A36="",COUNTIF(Components!$A$8:$A$107,A36)&lt;&gt;1),"",IF(VLOOKUP(A36,Components!$A$8:$S$107,11,FALSE)="","",VLOOKUP(A36,Components!$A$8:$S$107,11,FALSE)))</f>
        <v/>
      </c>
      <c r="M36" s="14" t="str">
        <f>IF(OR(A36="",COUNTIF(Components!$A$8:$A$107,A36)&lt;&gt;1),"",IF(VLOOKUP(A36,Components!$A$8:$S$107,12,FALSE)="","",VLOOKUP(A36,Components!$A$8:$S$107,12,FALSE)))</f>
        <v/>
      </c>
      <c r="N36" s="15" t="str">
        <f>IF(OR(A36="",COUNTIF(Components!$A$8:$A$107,A36)&lt;&gt;1),"",IF(VLOOKUP(A36,Components!$A$8:$S$107,13,FALSE)="","",VLOOKUP(A36,Components!$A$8:$S$107,13,FALSE)))</f>
        <v/>
      </c>
      <c r="O36" s="15" t="str">
        <f t="shared" si="3"/>
        <v/>
      </c>
      <c r="P36" s="1" t="str">
        <f>IF(OR(A36="",COUNTIF(Components!$A$8:$A$107,A36)&lt;&gt;1),"",IF(VLOOKUP(A36,Components!$A$8:$S$107,14,FALSE)="","",VLOOKUP(A36,Components!$A$8:$S$107,14,FALSE)))</f>
        <v/>
      </c>
      <c r="Q36" s="14" t="str">
        <f>IF(OR(A36="",COUNTIF(Components!$A$8:$A$107,A36)&lt;&gt;1),"",IF(VLOOKUP(A36,Components!$A$8:$S$107,15,FALSE)="","",VLOOKUP(A36,Components!$A$8:$S$107,15,FALSE)))</f>
        <v/>
      </c>
      <c r="R36" s="14" t="str">
        <f>IF(OR(A36="",COUNTIF(Components!$A$8:$A$107,A36)&lt;&gt;1),"",IF(VLOOKUP(A36,Components!$A$8:$S$107,16,FALSE)="","",VLOOKUP(A36,Components!$A$8:$S$107,16,FALSE)))</f>
        <v/>
      </c>
      <c r="S36" s="14" t="str">
        <f>IF(OR(A36="",COUNTIF(Components!$A$8:$A$107,A36)&lt;&gt;1),"",IF(VLOOKUP(A36,Components!$A$8:$S$107,17,FALSE)="","",VLOOKUP(A36,Components!$A$8:$S$107,17,FALSE)))</f>
        <v/>
      </c>
      <c r="T36" s="15" t="str">
        <f>IF(OR(A36="",COUNTIF(Components!$A$8:$A$107,A36)&lt;&gt;1),"",IF(VLOOKUP(A36,Components!$A$8:$S$107,18,FALSE)="","",VLOOKUP(A36,Components!$A$8:$S$107,18,FALSE)))</f>
        <v/>
      </c>
      <c r="U36" s="15" t="str">
        <f t="shared" si="4"/>
        <v/>
      </c>
    </row>
    <row r="37" spans="1:21" ht="48" customHeight="1">
      <c r="A37" s="4"/>
      <c r="B37" s="11"/>
      <c r="C37" s="6" t="str">
        <f>IF(A37="","",IF(COUNTIF(Components!$A$8:$A$107,A37)&lt;&gt;1,"Pending",VLOOKUP(A37,Components!$A$8:$F$107,5,FALSE)))</f>
        <v/>
      </c>
      <c r="D37" s="5"/>
      <c r="E37" s="6" t="str">
        <f t="shared" si="1"/>
        <v/>
      </c>
      <c r="F37" s="6" t="str">
        <f t="shared" si="2"/>
        <v/>
      </c>
      <c r="G37" s="1" t="str">
        <f>IF(A37="",IF(OR(NOT(ISBLANK(B37)),NOT(ISBLANK(D37))),"Needs component",""),IF(COUNTIF(Components!$A$8:$A$107,A37)&lt;&gt;1,"Invalid component",IF(ISBLANK(B37),"Needs quantity",IF(NOT(ISNUMBER(B37)),"Invalid quantity",IF(OR(B37&lt;0,B37&lt;&gt;INT(B37)),"Invalid quantity",IF(NOT(ISNUMBER(E37)),"Needs heat input",IF(NOT(ISBLANK(D37)),"Override used","Catalog basis")))))))</f>
        <v/>
      </c>
      <c r="H37" s="1"/>
      <c r="I37" s="12" t="str">
        <f>IF(A37="","",IF(COUNTIF(Components!$A$8:$A$107,A37)&lt;&gt;1,"Select a unique catalog component",VLOOKUP(A37,Components!$A$8:$F$107,6,FALSE)))</f>
        <v/>
      </c>
      <c r="J37" s="1" t="str">
        <f>IF(OR(A37="",COUNTIF(Components!$A$8:$A$107,A37)&lt;&gt;1),"",IF(VLOOKUP(A37,Components!$A$8:$S$107,9,FALSE)="","",VLOOKUP(A37,Components!$A$8:$S$107,9,FALSE)))</f>
        <v/>
      </c>
      <c r="K37" s="14" t="str">
        <f>IF(OR(A37="",COUNTIF(Components!$A$8:$A$107,A37)&lt;&gt;1),"",IF(VLOOKUP(A37,Components!$A$8:$S$107,10,FALSE)="","",VLOOKUP(A37,Components!$A$8:$S$107,10,FALSE)))</f>
        <v/>
      </c>
      <c r="L37" s="14" t="str">
        <f>IF(OR(A37="",COUNTIF(Components!$A$8:$A$107,A37)&lt;&gt;1),"",IF(VLOOKUP(A37,Components!$A$8:$S$107,11,FALSE)="","",VLOOKUP(A37,Components!$A$8:$S$107,11,FALSE)))</f>
        <v/>
      </c>
      <c r="M37" s="14" t="str">
        <f>IF(OR(A37="",COUNTIF(Components!$A$8:$A$107,A37)&lt;&gt;1),"",IF(VLOOKUP(A37,Components!$A$8:$S$107,12,FALSE)="","",VLOOKUP(A37,Components!$A$8:$S$107,12,FALSE)))</f>
        <v/>
      </c>
      <c r="N37" s="15" t="str">
        <f>IF(OR(A37="",COUNTIF(Components!$A$8:$A$107,A37)&lt;&gt;1),"",IF(VLOOKUP(A37,Components!$A$8:$S$107,13,FALSE)="","",VLOOKUP(A37,Components!$A$8:$S$107,13,FALSE)))</f>
        <v/>
      </c>
      <c r="O37" s="15" t="str">
        <f t="shared" si="3"/>
        <v/>
      </c>
      <c r="P37" s="1" t="str">
        <f>IF(OR(A37="",COUNTIF(Components!$A$8:$A$107,A37)&lt;&gt;1),"",IF(VLOOKUP(A37,Components!$A$8:$S$107,14,FALSE)="","",VLOOKUP(A37,Components!$A$8:$S$107,14,FALSE)))</f>
        <v/>
      </c>
      <c r="Q37" s="14" t="str">
        <f>IF(OR(A37="",COUNTIF(Components!$A$8:$A$107,A37)&lt;&gt;1),"",IF(VLOOKUP(A37,Components!$A$8:$S$107,15,FALSE)="","",VLOOKUP(A37,Components!$A$8:$S$107,15,FALSE)))</f>
        <v/>
      </c>
      <c r="R37" s="14" t="str">
        <f>IF(OR(A37="",COUNTIF(Components!$A$8:$A$107,A37)&lt;&gt;1),"",IF(VLOOKUP(A37,Components!$A$8:$S$107,16,FALSE)="","",VLOOKUP(A37,Components!$A$8:$S$107,16,FALSE)))</f>
        <v/>
      </c>
      <c r="S37" s="14" t="str">
        <f>IF(OR(A37="",COUNTIF(Components!$A$8:$A$107,A37)&lt;&gt;1),"",IF(VLOOKUP(A37,Components!$A$8:$S$107,17,FALSE)="","",VLOOKUP(A37,Components!$A$8:$S$107,17,FALSE)))</f>
        <v/>
      </c>
      <c r="T37" s="15" t="str">
        <f>IF(OR(A37="",COUNTIF(Components!$A$8:$A$107,A37)&lt;&gt;1),"",IF(VLOOKUP(A37,Components!$A$8:$S$107,18,FALSE)="","",VLOOKUP(A37,Components!$A$8:$S$107,18,FALSE)))</f>
        <v/>
      </c>
      <c r="U37" s="15" t="str">
        <f t="shared" si="4"/>
        <v/>
      </c>
    </row>
    <row r="38" spans="1:21" ht="48" customHeight="1">
      <c r="A38" s="4"/>
      <c r="B38" s="11"/>
      <c r="C38" s="6" t="str">
        <f>IF(A38="","",IF(COUNTIF(Components!$A$8:$A$107,A38)&lt;&gt;1,"Pending",VLOOKUP(A38,Components!$A$8:$F$107,5,FALSE)))</f>
        <v/>
      </c>
      <c r="D38" s="5"/>
      <c r="E38" s="6" t="str">
        <f t="shared" si="1"/>
        <v/>
      </c>
      <c r="F38" s="6" t="str">
        <f t="shared" si="2"/>
        <v/>
      </c>
      <c r="G38" s="1" t="str">
        <f>IF(A38="",IF(OR(NOT(ISBLANK(B38)),NOT(ISBLANK(D38))),"Needs component",""),IF(COUNTIF(Components!$A$8:$A$107,A38)&lt;&gt;1,"Invalid component",IF(ISBLANK(B38),"Needs quantity",IF(NOT(ISNUMBER(B38)),"Invalid quantity",IF(OR(B38&lt;0,B38&lt;&gt;INT(B38)),"Invalid quantity",IF(NOT(ISNUMBER(E38)),"Needs heat input",IF(NOT(ISBLANK(D38)),"Override used","Catalog basis")))))))</f>
        <v/>
      </c>
      <c r="H38" s="1"/>
      <c r="I38" s="12" t="str">
        <f>IF(A38="","",IF(COUNTIF(Components!$A$8:$A$107,A38)&lt;&gt;1,"Select a unique catalog component",VLOOKUP(A38,Components!$A$8:$F$107,6,FALSE)))</f>
        <v/>
      </c>
      <c r="J38" s="1" t="str">
        <f>IF(OR(A38="",COUNTIF(Components!$A$8:$A$107,A38)&lt;&gt;1),"",IF(VLOOKUP(A38,Components!$A$8:$S$107,9,FALSE)="","",VLOOKUP(A38,Components!$A$8:$S$107,9,FALSE)))</f>
        <v/>
      </c>
      <c r="K38" s="14" t="str">
        <f>IF(OR(A38="",COUNTIF(Components!$A$8:$A$107,A38)&lt;&gt;1),"",IF(VLOOKUP(A38,Components!$A$8:$S$107,10,FALSE)="","",VLOOKUP(A38,Components!$A$8:$S$107,10,FALSE)))</f>
        <v/>
      </c>
      <c r="L38" s="14" t="str">
        <f>IF(OR(A38="",COUNTIF(Components!$A$8:$A$107,A38)&lt;&gt;1),"",IF(VLOOKUP(A38,Components!$A$8:$S$107,11,FALSE)="","",VLOOKUP(A38,Components!$A$8:$S$107,11,FALSE)))</f>
        <v/>
      </c>
      <c r="M38" s="14" t="str">
        <f>IF(OR(A38="",COUNTIF(Components!$A$8:$A$107,A38)&lt;&gt;1),"",IF(VLOOKUP(A38,Components!$A$8:$S$107,12,FALSE)="","",VLOOKUP(A38,Components!$A$8:$S$107,12,FALSE)))</f>
        <v/>
      </c>
      <c r="N38" s="15" t="str">
        <f>IF(OR(A38="",COUNTIF(Components!$A$8:$A$107,A38)&lt;&gt;1),"",IF(VLOOKUP(A38,Components!$A$8:$S$107,13,FALSE)="","",VLOOKUP(A38,Components!$A$8:$S$107,13,FALSE)))</f>
        <v/>
      </c>
      <c r="O38" s="15" t="str">
        <f t="shared" si="3"/>
        <v/>
      </c>
      <c r="P38" s="1" t="str">
        <f>IF(OR(A38="",COUNTIF(Components!$A$8:$A$107,A38)&lt;&gt;1),"",IF(VLOOKUP(A38,Components!$A$8:$S$107,14,FALSE)="","",VLOOKUP(A38,Components!$A$8:$S$107,14,FALSE)))</f>
        <v/>
      </c>
      <c r="Q38" s="14" t="str">
        <f>IF(OR(A38="",COUNTIF(Components!$A$8:$A$107,A38)&lt;&gt;1),"",IF(VLOOKUP(A38,Components!$A$8:$S$107,15,FALSE)="","",VLOOKUP(A38,Components!$A$8:$S$107,15,FALSE)))</f>
        <v/>
      </c>
      <c r="R38" s="14" t="str">
        <f>IF(OR(A38="",COUNTIF(Components!$A$8:$A$107,A38)&lt;&gt;1),"",IF(VLOOKUP(A38,Components!$A$8:$S$107,16,FALSE)="","",VLOOKUP(A38,Components!$A$8:$S$107,16,FALSE)))</f>
        <v/>
      </c>
      <c r="S38" s="14" t="str">
        <f>IF(OR(A38="",COUNTIF(Components!$A$8:$A$107,A38)&lt;&gt;1),"",IF(VLOOKUP(A38,Components!$A$8:$S$107,17,FALSE)="","",VLOOKUP(A38,Components!$A$8:$S$107,17,FALSE)))</f>
        <v/>
      </c>
      <c r="T38" s="15" t="str">
        <f>IF(OR(A38="",COUNTIF(Components!$A$8:$A$107,A38)&lt;&gt;1),"",IF(VLOOKUP(A38,Components!$A$8:$S$107,18,FALSE)="","",VLOOKUP(A38,Components!$A$8:$S$107,18,FALSE)))</f>
        <v/>
      </c>
      <c r="U38" s="15" t="str">
        <f t="shared" si="4"/>
        <v/>
      </c>
    </row>
    <row r="39" spans="1:21" ht="48" customHeight="1">
      <c r="A39" s="4"/>
      <c r="B39" s="11"/>
      <c r="C39" s="6" t="str">
        <f>IF(A39="","",IF(COUNTIF(Components!$A$8:$A$107,A39)&lt;&gt;1,"Pending",VLOOKUP(A39,Components!$A$8:$F$107,5,FALSE)))</f>
        <v/>
      </c>
      <c r="D39" s="5"/>
      <c r="E39" s="6" t="str">
        <f t="shared" si="1"/>
        <v/>
      </c>
      <c r="F39" s="6" t="str">
        <f t="shared" si="2"/>
        <v/>
      </c>
      <c r="G39" s="1" t="str">
        <f>IF(A39="",IF(OR(NOT(ISBLANK(B39)),NOT(ISBLANK(D39))),"Needs component",""),IF(COUNTIF(Components!$A$8:$A$107,A39)&lt;&gt;1,"Invalid component",IF(ISBLANK(B39),"Needs quantity",IF(NOT(ISNUMBER(B39)),"Invalid quantity",IF(OR(B39&lt;0,B39&lt;&gt;INT(B39)),"Invalid quantity",IF(NOT(ISNUMBER(E39)),"Needs heat input",IF(NOT(ISBLANK(D39)),"Override used","Catalog basis")))))))</f>
        <v/>
      </c>
      <c r="H39" s="1"/>
      <c r="I39" s="12" t="str">
        <f>IF(A39="","",IF(COUNTIF(Components!$A$8:$A$107,A39)&lt;&gt;1,"Select a unique catalog component",VLOOKUP(A39,Components!$A$8:$F$107,6,FALSE)))</f>
        <v/>
      </c>
      <c r="J39" s="1" t="str">
        <f>IF(OR(A39="",COUNTIF(Components!$A$8:$A$107,A39)&lt;&gt;1),"",IF(VLOOKUP(A39,Components!$A$8:$S$107,9,FALSE)="","",VLOOKUP(A39,Components!$A$8:$S$107,9,FALSE)))</f>
        <v/>
      </c>
      <c r="K39" s="14" t="str">
        <f>IF(OR(A39="",COUNTIF(Components!$A$8:$A$107,A39)&lt;&gt;1),"",IF(VLOOKUP(A39,Components!$A$8:$S$107,10,FALSE)="","",VLOOKUP(A39,Components!$A$8:$S$107,10,FALSE)))</f>
        <v/>
      </c>
      <c r="L39" s="14" t="str">
        <f>IF(OR(A39="",COUNTIF(Components!$A$8:$A$107,A39)&lt;&gt;1),"",IF(VLOOKUP(A39,Components!$A$8:$S$107,11,FALSE)="","",VLOOKUP(A39,Components!$A$8:$S$107,11,FALSE)))</f>
        <v/>
      </c>
      <c r="M39" s="14" t="str">
        <f>IF(OR(A39="",COUNTIF(Components!$A$8:$A$107,A39)&lt;&gt;1),"",IF(VLOOKUP(A39,Components!$A$8:$S$107,12,FALSE)="","",VLOOKUP(A39,Components!$A$8:$S$107,12,FALSE)))</f>
        <v/>
      </c>
      <c r="N39" s="15" t="str">
        <f>IF(OR(A39="",COUNTIF(Components!$A$8:$A$107,A39)&lt;&gt;1),"",IF(VLOOKUP(A39,Components!$A$8:$S$107,13,FALSE)="","",VLOOKUP(A39,Components!$A$8:$S$107,13,FALSE)))</f>
        <v/>
      </c>
      <c r="O39" s="15" t="str">
        <f t="shared" si="3"/>
        <v/>
      </c>
      <c r="P39" s="1" t="str">
        <f>IF(OR(A39="",COUNTIF(Components!$A$8:$A$107,A39)&lt;&gt;1),"",IF(VLOOKUP(A39,Components!$A$8:$S$107,14,FALSE)="","",VLOOKUP(A39,Components!$A$8:$S$107,14,FALSE)))</f>
        <v/>
      </c>
      <c r="Q39" s="14" t="str">
        <f>IF(OR(A39="",COUNTIF(Components!$A$8:$A$107,A39)&lt;&gt;1),"",IF(VLOOKUP(A39,Components!$A$8:$S$107,15,FALSE)="","",VLOOKUP(A39,Components!$A$8:$S$107,15,FALSE)))</f>
        <v/>
      </c>
      <c r="R39" s="14" t="str">
        <f>IF(OR(A39="",COUNTIF(Components!$A$8:$A$107,A39)&lt;&gt;1),"",IF(VLOOKUP(A39,Components!$A$8:$S$107,16,FALSE)="","",VLOOKUP(A39,Components!$A$8:$S$107,16,FALSE)))</f>
        <v/>
      </c>
      <c r="S39" s="14" t="str">
        <f>IF(OR(A39="",COUNTIF(Components!$A$8:$A$107,A39)&lt;&gt;1),"",IF(VLOOKUP(A39,Components!$A$8:$S$107,17,FALSE)="","",VLOOKUP(A39,Components!$A$8:$S$107,17,FALSE)))</f>
        <v/>
      </c>
      <c r="T39" s="15" t="str">
        <f>IF(OR(A39="",COUNTIF(Components!$A$8:$A$107,A39)&lt;&gt;1),"",IF(VLOOKUP(A39,Components!$A$8:$S$107,18,FALSE)="","",VLOOKUP(A39,Components!$A$8:$S$107,18,FALSE)))</f>
        <v/>
      </c>
      <c r="U39" s="15" t="str">
        <f t="shared" si="4"/>
        <v/>
      </c>
    </row>
    <row r="40" spans="1:21" ht="48" customHeight="1">
      <c r="A40" s="4"/>
      <c r="B40" s="11"/>
      <c r="C40" s="6" t="str">
        <f>IF(A40="","",IF(COUNTIF(Components!$A$8:$A$107,A40)&lt;&gt;1,"Pending",VLOOKUP(A40,Components!$A$8:$F$107,5,FALSE)))</f>
        <v/>
      </c>
      <c r="D40" s="5"/>
      <c r="E40" s="6" t="str">
        <f t="shared" si="1"/>
        <v/>
      </c>
      <c r="F40" s="6" t="str">
        <f t="shared" si="2"/>
        <v/>
      </c>
      <c r="G40" s="1" t="str">
        <f>IF(A40="",IF(OR(NOT(ISBLANK(B40)),NOT(ISBLANK(D40))),"Needs component",""),IF(COUNTIF(Components!$A$8:$A$107,A40)&lt;&gt;1,"Invalid component",IF(ISBLANK(B40),"Needs quantity",IF(NOT(ISNUMBER(B40)),"Invalid quantity",IF(OR(B40&lt;0,B40&lt;&gt;INT(B40)),"Invalid quantity",IF(NOT(ISNUMBER(E40)),"Needs heat input",IF(NOT(ISBLANK(D40)),"Override used","Catalog basis")))))))</f>
        <v/>
      </c>
      <c r="H40" s="1"/>
      <c r="I40" s="12" t="str">
        <f>IF(A40="","",IF(COUNTIF(Components!$A$8:$A$107,A40)&lt;&gt;1,"Select a unique catalog component",VLOOKUP(A40,Components!$A$8:$F$107,6,FALSE)))</f>
        <v/>
      </c>
      <c r="J40" s="1" t="str">
        <f>IF(OR(A40="",COUNTIF(Components!$A$8:$A$107,A40)&lt;&gt;1),"",IF(VLOOKUP(A40,Components!$A$8:$S$107,9,FALSE)="","",VLOOKUP(A40,Components!$A$8:$S$107,9,FALSE)))</f>
        <v/>
      </c>
      <c r="K40" s="14" t="str">
        <f>IF(OR(A40="",COUNTIF(Components!$A$8:$A$107,A40)&lt;&gt;1),"",IF(VLOOKUP(A40,Components!$A$8:$S$107,10,FALSE)="","",VLOOKUP(A40,Components!$A$8:$S$107,10,FALSE)))</f>
        <v/>
      </c>
      <c r="L40" s="14" t="str">
        <f>IF(OR(A40="",COUNTIF(Components!$A$8:$A$107,A40)&lt;&gt;1),"",IF(VLOOKUP(A40,Components!$A$8:$S$107,11,FALSE)="","",VLOOKUP(A40,Components!$A$8:$S$107,11,FALSE)))</f>
        <v/>
      </c>
      <c r="M40" s="14" t="str">
        <f>IF(OR(A40="",COUNTIF(Components!$A$8:$A$107,A40)&lt;&gt;1),"",IF(VLOOKUP(A40,Components!$A$8:$S$107,12,FALSE)="","",VLOOKUP(A40,Components!$A$8:$S$107,12,FALSE)))</f>
        <v/>
      </c>
      <c r="N40" s="15" t="str">
        <f>IF(OR(A40="",COUNTIF(Components!$A$8:$A$107,A40)&lt;&gt;1),"",IF(VLOOKUP(A40,Components!$A$8:$S$107,13,FALSE)="","",VLOOKUP(A40,Components!$A$8:$S$107,13,FALSE)))</f>
        <v/>
      </c>
      <c r="O40" s="15" t="str">
        <f t="shared" si="3"/>
        <v/>
      </c>
      <c r="P40" s="1" t="str">
        <f>IF(OR(A40="",COUNTIF(Components!$A$8:$A$107,A40)&lt;&gt;1),"",IF(VLOOKUP(A40,Components!$A$8:$S$107,14,FALSE)="","",VLOOKUP(A40,Components!$A$8:$S$107,14,FALSE)))</f>
        <v/>
      </c>
      <c r="Q40" s="14" t="str">
        <f>IF(OR(A40="",COUNTIF(Components!$A$8:$A$107,A40)&lt;&gt;1),"",IF(VLOOKUP(A40,Components!$A$8:$S$107,15,FALSE)="","",VLOOKUP(A40,Components!$A$8:$S$107,15,FALSE)))</f>
        <v/>
      </c>
      <c r="R40" s="14" t="str">
        <f>IF(OR(A40="",COUNTIF(Components!$A$8:$A$107,A40)&lt;&gt;1),"",IF(VLOOKUP(A40,Components!$A$8:$S$107,16,FALSE)="","",VLOOKUP(A40,Components!$A$8:$S$107,16,FALSE)))</f>
        <v/>
      </c>
      <c r="S40" s="14" t="str">
        <f>IF(OR(A40="",COUNTIF(Components!$A$8:$A$107,A40)&lt;&gt;1),"",IF(VLOOKUP(A40,Components!$A$8:$S$107,17,FALSE)="","",VLOOKUP(A40,Components!$A$8:$S$107,17,FALSE)))</f>
        <v/>
      </c>
      <c r="T40" s="15" t="str">
        <f>IF(OR(A40="",COUNTIF(Components!$A$8:$A$107,A40)&lt;&gt;1),"",IF(VLOOKUP(A40,Components!$A$8:$S$107,18,FALSE)="","",VLOOKUP(A40,Components!$A$8:$S$107,18,FALSE)))</f>
        <v/>
      </c>
      <c r="U40" s="15" t="str">
        <f t="shared" si="4"/>
        <v/>
      </c>
    </row>
    <row r="41" spans="1:21" ht="48" customHeight="1">
      <c r="A41" s="4"/>
      <c r="B41" s="11"/>
      <c r="C41" s="6" t="str">
        <f>IF(A41="","",IF(COUNTIF(Components!$A$8:$A$107,A41)&lt;&gt;1,"Pending",VLOOKUP(A41,Components!$A$8:$F$107,5,FALSE)))</f>
        <v/>
      </c>
      <c r="D41" s="5"/>
      <c r="E41" s="6" t="str">
        <f t="shared" si="1"/>
        <v/>
      </c>
      <c r="F41" s="6" t="str">
        <f t="shared" si="2"/>
        <v/>
      </c>
      <c r="G41" s="1" t="str">
        <f>IF(A41="",IF(OR(NOT(ISBLANK(B41)),NOT(ISBLANK(D41))),"Needs component",""),IF(COUNTIF(Components!$A$8:$A$107,A41)&lt;&gt;1,"Invalid component",IF(ISBLANK(B41),"Needs quantity",IF(NOT(ISNUMBER(B41)),"Invalid quantity",IF(OR(B41&lt;0,B41&lt;&gt;INT(B41)),"Invalid quantity",IF(NOT(ISNUMBER(E41)),"Needs heat input",IF(NOT(ISBLANK(D41)),"Override used","Catalog basis")))))))</f>
        <v/>
      </c>
      <c r="H41" s="1"/>
      <c r="I41" s="12" t="str">
        <f>IF(A41="","",IF(COUNTIF(Components!$A$8:$A$107,A41)&lt;&gt;1,"Select a unique catalog component",VLOOKUP(A41,Components!$A$8:$F$107,6,FALSE)))</f>
        <v/>
      </c>
      <c r="J41" s="1" t="str">
        <f>IF(OR(A41="",COUNTIF(Components!$A$8:$A$107,A41)&lt;&gt;1),"",IF(VLOOKUP(A41,Components!$A$8:$S$107,9,FALSE)="","",VLOOKUP(A41,Components!$A$8:$S$107,9,FALSE)))</f>
        <v/>
      </c>
      <c r="K41" s="14" t="str">
        <f>IF(OR(A41="",COUNTIF(Components!$A$8:$A$107,A41)&lt;&gt;1),"",IF(VLOOKUP(A41,Components!$A$8:$S$107,10,FALSE)="","",VLOOKUP(A41,Components!$A$8:$S$107,10,FALSE)))</f>
        <v/>
      </c>
      <c r="L41" s="14" t="str">
        <f>IF(OR(A41="",COUNTIF(Components!$A$8:$A$107,A41)&lt;&gt;1),"",IF(VLOOKUP(A41,Components!$A$8:$S$107,11,FALSE)="","",VLOOKUP(A41,Components!$A$8:$S$107,11,FALSE)))</f>
        <v/>
      </c>
      <c r="M41" s="14" t="str">
        <f>IF(OR(A41="",COUNTIF(Components!$A$8:$A$107,A41)&lt;&gt;1),"",IF(VLOOKUP(A41,Components!$A$8:$S$107,12,FALSE)="","",VLOOKUP(A41,Components!$A$8:$S$107,12,FALSE)))</f>
        <v/>
      </c>
      <c r="N41" s="15" t="str">
        <f>IF(OR(A41="",COUNTIF(Components!$A$8:$A$107,A41)&lt;&gt;1),"",IF(VLOOKUP(A41,Components!$A$8:$S$107,13,FALSE)="","",VLOOKUP(A41,Components!$A$8:$S$107,13,FALSE)))</f>
        <v/>
      </c>
      <c r="O41" s="15" t="str">
        <f t="shared" si="3"/>
        <v/>
      </c>
      <c r="P41" s="1" t="str">
        <f>IF(OR(A41="",COUNTIF(Components!$A$8:$A$107,A41)&lt;&gt;1),"",IF(VLOOKUP(A41,Components!$A$8:$S$107,14,FALSE)="","",VLOOKUP(A41,Components!$A$8:$S$107,14,FALSE)))</f>
        <v/>
      </c>
      <c r="Q41" s="14" t="str">
        <f>IF(OR(A41="",COUNTIF(Components!$A$8:$A$107,A41)&lt;&gt;1),"",IF(VLOOKUP(A41,Components!$A$8:$S$107,15,FALSE)="","",VLOOKUP(A41,Components!$A$8:$S$107,15,FALSE)))</f>
        <v/>
      </c>
      <c r="R41" s="14" t="str">
        <f>IF(OR(A41="",COUNTIF(Components!$A$8:$A$107,A41)&lt;&gt;1),"",IF(VLOOKUP(A41,Components!$A$8:$S$107,16,FALSE)="","",VLOOKUP(A41,Components!$A$8:$S$107,16,FALSE)))</f>
        <v/>
      </c>
      <c r="S41" s="14" t="str">
        <f>IF(OR(A41="",COUNTIF(Components!$A$8:$A$107,A41)&lt;&gt;1),"",IF(VLOOKUP(A41,Components!$A$8:$S$107,17,FALSE)="","",VLOOKUP(A41,Components!$A$8:$S$107,17,FALSE)))</f>
        <v/>
      </c>
      <c r="T41" s="15" t="str">
        <f>IF(OR(A41="",COUNTIF(Components!$A$8:$A$107,A41)&lt;&gt;1),"",IF(VLOOKUP(A41,Components!$A$8:$S$107,18,FALSE)="","",VLOOKUP(A41,Components!$A$8:$S$107,18,FALSE)))</f>
        <v/>
      </c>
      <c r="U41" s="15" t="str">
        <f t="shared" si="4"/>
        <v/>
      </c>
    </row>
    <row r="42" spans="1:21" ht="48" customHeight="1">
      <c r="A42" s="4"/>
      <c r="B42" s="11"/>
      <c r="C42" s="6" t="str">
        <f>IF(A42="","",IF(COUNTIF(Components!$A$8:$A$107,A42)&lt;&gt;1,"Pending",VLOOKUP(A42,Components!$A$8:$F$107,5,FALSE)))</f>
        <v/>
      </c>
      <c r="D42" s="5"/>
      <c r="E42" s="6" t="str">
        <f t="shared" si="1"/>
        <v/>
      </c>
      <c r="F42" s="6" t="str">
        <f t="shared" si="2"/>
        <v/>
      </c>
      <c r="G42" s="1" t="str">
        <f>IF(A42="",IF(OR(NOT(ISBLANK(B42)),NOT(ISBLANK(D42))),"Needs component",""),IF(COUNTIF(Components!$A$8:$A$107,A42)&lt;&gt;1,"Invalid component",IF(ISBLANK(B42),"Needs quantity",IF(NOT(ISNUMBER(B42)),"Invalid quantity",IF(OR(B42&lt;0,B42&lt;&gt;INT(B42)),"Invalid quantity",IF(NOT(ISNUMBER(E42)),"Needs heat input",IF(NOT(ISBLANK(D42)),"Override used","Catalog basis")))))))</f>
        <v/>
      </c>
      <c r="H42" s="1"/>
      <c r="I42" s="12" t="str">
        <f>IF(A42="","",IF(COUNTIF(Components!$A$8:$A$107,A42)&lt;&gt;1,"Select a unique catalog component",VLOOKUP(A42,Components!$A$8:$F$107,6,FALSE)))</f>
        <v/>
      </c>
      <c r="J42" s="1" t="str">
        <f>IF(OR(A42="",COUNTIF(Components!$A$8:$A$107,A42)&lt;&gt;1),"",IF(VLOOKUP(A42,Components!$A$8:$S$107,9,FALSE)="","",VLOOKUP(A42,Components!$A$8:$S$107,9,FALSE)))</f>
        <v/>
      </c>
      <c r="K42" s="14" t="str">
        <f>IF(OR(A42="",COUNTIF(Components!$A$8:$A$107,A42)&lt;&gt;1),"",IF(VLOOKUP(A42,Components!$A$8:$S$107,10,FALSE)="","",VLOOKUP(A42,Components!$A$8:$S$107,10,FALSE)))</f>
        <v/>
      </c>
      <c r="L42" s="14" t="str">
        <f>IF(OR(A42="",COUNTIF(Components!$A$8:$A$107,A42)&lt;&gt;1),"",IF(VLOOKUP(A42,Components!$A$8:$S$107,11,FALSE)="","",VLOOKUP(A42,Components!$A$8:$S$107,11,FALSE)))</f>
        <v/>
      </c>
      <c r="M42" s="14" t="str">
        <f>IF(OR(A42="",COUNTIF(Components!$A$8:$A$107,A42)&lt;&gt;1),"",IF(VLOOKUP(A42,Components!$A$8:$S$107,12,FALSE)="","",VLOOKUP(A42,Components!$A$8:$S$107,12,FALSE)))</f>
        <v/>
      </c>
      <c r="N42" s="15" t="str">
        <f>IF(OR(A42="",COUNTIF(Components!$A$8:$A$107,A42)&lt;&gt;1),"",IF(VLOOKUP(A42,Components!$A$8:$S$107,13,FALSE)="","",VLOOKUP(A42,Components!$A$8:$S$107,13,FALSE)))</f>
        <v/>
      </c>
      <c r="O42" s="15" t="str">
        <f t="shared" si="3"/>
        <v/>
      </c>
      <c r="P42" s="1" t="str">
        <f>IF(OR(A42="",COUNTIF(Components!$A$8:$A$107,A42)&lt;&gt;1),"",IF(VLOOKUP(A42,Components!$A$8:$S$107,14,FALSE)="","",VLOOKUP(A42,Components!$A$8:$S$107,14,FALSE)))</f>
        <v/>
      </c>
      <c r="Q42" s="14" t="str">
        <f>IF(OR(A42="",COUNTIF(Components!$A$8:$A$107,A42)&lt;&gt;1),"",IF(VLOOKUP(A42,Components!$A$8:$S$107,15,FALSE)="","",VLOOKUP(A42,Components!$A$8:$S$107,15,FALSE)))</f>
        <v/>
      </c>
      <c r="R42" s="14" t="str">
        <f>IF(OR(A42="",COUNTIF(Components!$A$8:$A$107,A42)&lt;&gt;1),"",IF(VLOOKUP(A42,Components!$A$8:$S$107,16,FALSE)="","",VLOOKUP(A42,Components!$A$8:$S$107,16,FALSE)))</f>
        <v/>
      </c>
      <c r="S42" s="14" t="str">
        <f>IF(OR(A42="",COUNTIF(Components!$A$8:$A$107,A42)&lt;&gt;1),"",IF(VLOOKUP(A42,Components!$A$8:$S$107,17,FALSE)="","",VLOOKUP(A42,Components!$A$8:$S$107,17,FALSE)))</f>
        <v/>
      </c>
      <c r="T42" s="15" t="str">
        <f>IF(OR(A42="",COUNTIF(Components!$A$8:$A$107,A42)&lt;&gt;1),"",IF(VLOOKUP(A42,Components!$A$8:$S$107,18,FALSE)="","",VLOOKUP(A42,Components!$A$8:$S$107,18,FALSE)))</f>
        <v/>
      </c>
      <c r="U42" s="15" t="str">
        <f t="shared" si="4"/>
        <v/>
      </c>
    </row>
    <row r="43" spans="1:21" ht="48" customHeight="1">
      <c r="A43" s="4"/>
      <c r="B43" s="11"/>
      <c r="C43" s="6" t="str">
        <f>IF(A43="","",IF(COUNTIF(Components!$A$8:$A$107,A43)&lt;&gt;1,"Pending",VLOOKUP(A43,Components!$A$8:$F$107,5,FALSE)))</f>
        <v/>
      </c>
      <c r="D43" s="5"/>
      <c r="E43" s="6" t="str">
        <f t="shared" ref="E43:E74" si="5">IF(A43="","",IF(ISBLANK(D43),C43,IF(AND(ISNUMBER(D43),D43&gt;=0),D43,"Pending")))</f>
        <v/>
      </c>
      <c r="F43" s="6" t="str">
        <f t="shared" ref="F43:F74" si="6">IF(OR(G43="Catalog basis",G43="Override used"),B43*E43,"")</f>
        <v/>
      </c>
      <c r="G43" s="1" t="str">
        <f>IF(A43="",IF(OR(NOT(ISBLANK(B43)),NOT(ISBLANK(D43))),"Needs component",""),IF(COUNTIF(Components!$A$8:$A$107,A43)&lt;&gt;1,"Invalid component",IF(ISBLANK(B43),"Needs quantity",IF(NOT(ISNUMBER(B43)),"Invalid quantity",IF(OR(B43&lt;0,B43&lt;&gt;INT(B43)),"Invalid quantity",IF(NOT(ISNUMBER(E43)),"Needs heat input",IF(NOT(ISBLANK(D43)),"Override used","Catalog basis")))))))</f>
        <v/>
      </c>
      <c r="H43" s="1"/>
      <c r="I43" s="12" t="str">
        <f>IF(A43="","",IF(COUNTIF(Components!$A$8:$A$107,A43)&lt;&gt;1,"Select a unique catalog component",VLOOKUP(A43,Components!$A$8:$F$107,6,FALSE)))</f>
        <v/>
      </c>
      <c r="J43" s="1" t="str">
        <f>IF(OR(A43="",COUNTIF(Components!$A$8:$A$107,A43)&lt;&gt;1),"",IF(VLOOKUP(A43,Components!$A$8:$S$107,9,FALSE)="","",VLOOKUP(A43,Components!$A$8:$S$107,9,FALSE)))</f>
        <v/>
      </c>
      <c r="K43" s="14" t="str">
        <f>IF(OR(A43="",COUNTIF(Components!$A$8:$A$107,A43)&lt;&gt;1),"",IF(VLOOKUP(A43,Components!$A$8:$S$107,10,FALSE)="","",VLOOKUP(A43,Components!$A$8:$S$107,10,FALSE)))</f>
        <v/>
      </c>
      <c r="L43" s="14" t="str">
        <f>IF(OR(A43="",COUNTIF(Components!$A$8:$A$107,A43)&lt;&gt;1),"",IF(VLOOKUP(A43,Components!$A$8:$S$107,11,FALSE)="","",VLOOKUP(A43,Components!$A$8:$S$107,11,FALSE)))</f>
        <v/>
      </c>
      <c r="M43" s="14" t="str">
        <f>IF(OR(A43="",COUNTIF(Components!$A$8:$A$107,A43)&lt;&gt;1),"",IF(VLOOKUP(A43,Components!$A$8:$S$107,12,FALSE)="","",VLOOKUP(A43,Components!$A$8:$S$107,12,FALSE)))</f>
        <v/>
      </c>
      <c r="N43" s="15" t="str">
        <f>IF(OR(A43="",COUNTIF(Components!$A$8:$A$107,A43)&lt;&gt;1),"",IF(VLOOKUP(A43,Components!$A$8:$S$107,13,FALSE)="","",VLOOKUP(A43,Components!$A$8:$S$107,13,FALSE)))</f>
        <v/>
      </c>
      <c r="O43" s="15" t="str">
        <f t="shared" ref="O43:O74" si="7">IF(OR(N43="",NOT(ISNUMBER(B43))),"",B43*N43)</f>
        <v/>
      </c>
      <c r="P43" s="1" t="str">
        <f>IF(OR(A43="",COUNTIF(Components!$A$8:$A$107,A43)&lt;&gt;1),"",IF(VLOOKUP(A43,Components!$A$8:$S$107,14,FALSE)="","",VLOOKUP(A43,Components!$A$8:$S$107,14,FALSE)))</f>
        <v/>
      </c>
      <c r="Q43" s="14" t="str">
        <f>IF(OR(A43="",COUNTIF(Components!$A$8:$A$107,A43)&lt;&gt;1),"",IF(VLOOKUP(A43,Components!$A$8:$S$107,15,FALSE)="","",VLOOKUP(A43,Components!$A$8:$S$107,15,FALSE)))</f>
        <v/>
      </c>
      <c r="R43" s="14" t="str">
        <f>IF(OR(A43="",COUNTIF(Components!$A$8:$A$107,A43)&lt;&gt;1),"",IF(VLOOKUP(A43,Components!$A$8:$S$107,16,FALSE)="","",VLOOKUP(A43,Components!$A$8:$S$107,16,FALSE)))</f>
        <v/>
      </c>
      <c r="S43" s="14" t="str">
        <f>IF(OR(A43="",COUNTIF(Components!$A$8:$A$107,A43)&lt;&gt;1),"",IF(VLOOKUP(A43,Components!$A$8:$S$107,17,FALSE)="","",VLOOKUP(A43,Components!$A$8:$S$107,17,FALSE)))</f>
        <v/>
      </c>
      <c r="T43" s="15" t="str">
        <f>IF(OR(A43="",COUNTIF(Components!$A$8:$A$107,A43)&lt;&gt;1),"",IF(VLOOKUP(A43,Components!$A$8:$S$107,18,FALSE)="","",VLOOKUP(A43,Components!$A$8:$S$107,18,FALSE)))</f>
        <v/>
      </c>
      <c r="U43" s="15" t="str">
        <f t="shared" ref="U43:U74" si="8">IF(OR(T43="",NOT(ISNUMBER(B43))),"",B43*T43)</f>
        <v/>
      </c>
    </row>
    <row r="44" spans="1:21" ht="48" customHeight="1">
      <c r="A44" s="4"/>
      <c r="B44" s="11"/>
      <c r="C44" s="6" t="str">
        <f>IF(A44="","",IF(COUNTIF(Components!$A$8:$A$107,A44)&lt;&gt;1,"Pending",VLOOKUP(A44,Components!$A$8:$F$107,5,FALSE)))</f>
        <v/>
      </c>
      <c r="D44" s="5"/>
      <c r="E44" s="6" t="str">
        <f t="shared" si="5"/>
        <v/>
      </c>
      <c r="F44" s="6" t="str">
        <f t="shared" si="6"/>
        <v/>
      </c>
      <c r="G44" s="1" t="str">
        <f>IF(A44="",IF(OR(NOT(ISBLANK(B44)),NOT(ISBLANK(D44))),"Needs component",""),IF(COUNTIF(Components!$A$8:$A$107,A44)&lt;&gt;1,"Invalid component",IF(ISBLANK(B44),"Needs quantity",IF(NOT(ISNUMBER(B44)),"Invalid quantity",IF(OR(B44&lt;0,B44&lt;&gt;INT(B44)),"Invalid quantity",IF(NOT(ISNUMBER(E44)),"Needs heat input",IF(NOT(ISBLANK(D44)),"Override used","Catalog basis")))))))</f>
        <v/>
      </c>
      <c r="H44" s="1"/>
      <c r="I44" s="12" t="str">
        <f>IF(A44="","",IF(COUNTIF(Components!$A$8:$A$107,A44)&lt;&gt;1,"Select a unique catalog component",VLOOKUP(A44,Components!$A$8:$F$107,6,FALSE)))</f>
        <v/>
      </c>
      <c r="J44" s="1" t="str">
        <f>IF(OR(A44="",COUNTIF(Components!$A$8:$A$107,A44)&lt;&gt;1),"",IF(VLOOKUP(A44,Components!$A$8:$S$107,9,FALSE)="","",VLOOKUP(A44,Components!$A$8:$S$107,9,FALSE)))</f>
        <v/>
      </c>
      <c r="K44" s="14" t="str">
        <f>IF(OR(A44="",COUNTIF(Components!$A$8:$A$107,A44)&lt;&gt;1),"",IF(VLOOKUP(A44,Components!$A$8:$S$107,10,FALSE)="","",VLOOKUP(A44,Components!$A$8:$S$107,10,FALSE)))</f>
        <v/>
      </c>
      <c r="L44" s="14" t="str">
        <f>IF(OR(A44="",COUNTIF(Components!$A$8:$A$107,A44)&lt;&gt;1),"",IF(VLOOKUP(A44,Components!$A$8:$S$107,11,FALSE)="","",VLOOKUP(A44,Components!$A$8:$S$107,11,FALSE)))</f>
        <v/>
      </c>
      <c r="M44" s="14" t="str">
        <f>IF(OR(A44="",COUNTIF(Components!$A$8:$A$107,A44)&lt;&gt;1),"",IF(VLOOKUP(A44,Components!$A$8:$S$107,12,FALSE)="","",VLOOKUP(A44,Components!$A$8:$S$107,12,FALSE)))</f>
        <v/>
      </c>
      <c r="N44" s="15" t="str">
        <f>IF(OR(A44="",COUNTIF(Components!$A$8:$A$107,A44)&lt;&gt;1),"",IF(VLOOKUP(A44,Components!$A$8:$S$107,13,FALSE)="","",VLOOKUP(A44,Components!$A$8:$S$107,13,FALSE)))</f>
        <v/>
      </c>
      <c r="O44" s="15" t="str">
        <f t="shared" si="7"/>
        <v/>
      </c>
      <c r="P44" s="1" t="str">
        <f>IF(OR(A44="",COUNTIF(Components!$A$8:$A$107,A44)&lt;&gt;1),"",IF(VLOOKUP(A44,Components!$A$8:$S$107,14,FALSE)="","",VLOOKUP(A44,Components!$A$8:$S$107,14,FALSE)))</f>
        <v/>
      </c>
      <c r="Q44" s="14" t="str">
        <f>IF(OR(A44="",COUNTIF(Components!$A$8:$A$107,A44)&lt;&gt;1),"",IF(VLOOKUP(A44,Components!$A$8:$S$107,15,FALSE)="","",VLOOKUP(A44,Components!$A$8:$S$107,15,FALSE)))</f>
        <v/>
      </c>
      <c r="R44" s="14" t="str">
        <f>IF(OR(A44="",COUNTIF(Components!$A$8:$A$107,A44)&lt;&gt;1),"",IF(VLOOKUP(A44,Components!$A$8:$S$107,16,FALSE)="","",VLOOKUP(A44,Components!$A$8:$S$107,16,FALSE)))</f>
        <v/>
      </c>
      <c r="S44" s="14" t="str">
        <f>IF(OR(A44="",COUNTIF(Components!$A$8:$A$107,A44)&lt;&gt;1),"",IF(VLOOKUP(A44,Components!$A$8:$S$107,17,FALSE)="","",VLOOKUP(A44,Components!$A$8:$S$107,17,FALSE)))</f>
        <v/>
      </c>
      <c r="T44" s="15" t="str">
        <f>IF(OR(A44="",COUNTIF(Components!$A$8:$A$107,A44)&lt;&gt;1),"",IF(VLOOKUP(A44,Components!$A$8:$S$107,18,FALSE)="","",VLOOKUP(A44,Components!$A$8:$S$107,18,FALSE)))</f>
        <v/>
      </c>
      <c r="U44" s="15" t="str">
        <f t="shared" si="8"/>
        <v/>
      </c>
    </row>
    <row r="45" spans="1:21" ht="48" customHeight="1">
      <c r="A45" s="4"/>
      <c r="B45" s="11"/>
      <c r="C45" s="6" t="str">
        <f>IF(A45="","",IF(COUNTIF(Components!$A$8:$A$107,A45)&lt;&gt;1,"Pending",VLOOKUP(A45,Components!$A$8:$F$107,5,FALSE)))</f>
        <v/>
      </c>
      <c r="D45" s="5"/>
      <c r="E45" s="6" t="str">
        <f t="shared" si="5"/>
        <v/>
      </c>
      <c r="F45" s="6" t="str">
        <f t="shared" si="6"/>
        <v/>
      </c>
      <c r="G45" s="1" t="str">
        <f>IF(A45="",IF(OR(NOT(ISBLANK(B45)),NOT(ISBLANK(D45))),"Needs component",""),IF(COUNTIF(Components!$A$8:$A$107,A45)&lt;&gt;1,"Invalid component",IF(ISBLANK(B45),"Needs quantity",IF(NOT(ISNUMBER(B45)),"Invalid quantity",IF(OR(B45&lt;0,B45&lt;&gt;INT(B45)),"Invalid quantity",IF(NOT(ISNUMBER(E45)),"Needs heat input",IF(NOT(ISBLANK(D45)),"Override used","Catalog basis")))))))</f>
        <v/>
      </c>
      <c r="H45" s="1"/>
      <c r="I45" s="12" t="str">
        <f>IF(A45="","",IF(COUNTIF(Components!$A$8:$A$107,A45)&lt;&gt;1,"Select a unique catalog component",VLOOKUP(A45,Components!$A$8:$F$107,6,FALSE)))</f>
        <v/>
      </c>
      <c r="J45" s="1" t="str">
        <f>IF(OR(A45="",COUNTIF(Components!$A$8:$A$107,A45)&lt;&gt;1),"",IF(VLOOKUP(A45,Components!$A$8:$S$107,9,FALSE)="","",VLOOKUP(A45,Components!$A$8:$S$107,9,FALSE)))</f>
        <v/>
      </c>
      <c r="K45" s="14" t="str">
        <f>IF(OR(A45="",COUNTIF(Components!$A$8:$A$107,A45)&lt;&gt;1),"",IF(VLOOKUP(A45,Components!$A$8:$S$107,10,FALSE)="","",VLOOKUP(A45,Components!$A$8:$S$107,10,FALSE)))</f>
        <v/>
      </c>
      <c r="L45" s="14" t="str">
        <f>IF(OR(A45="",COUNTIF(Components!$A$8:$A$107,A45)&lt;&gt;1),"",IF(VLOOKUP(A45,Components!$A$8:$S$107,11,FALSE)="","",VLOOKUP(A45,Components!$A$8:$S$107,11,FALSE)))</f>
        <v/>
      </c>
      <c r="M45" s="14" t="str">
        <f>IF(OR(A45="",COUNTIF(Components!$A$8:$A$107,A45)&lt;&gt;1),"",IF(VLOOKUP(A45,Components!$A$8:$S$107,12,FALSE)="","",VLOOKUP(A45,Components!$A$8:$S$107,12,FALSE)))</f>
        <v/>
      </c>
      <c r="N45" s="15" t="str">
        <f>IF(OR(A45="",COUNTIF(Components!$A$8:$A$107,A45)&lt;&gt;1),"",IF(VLOOKUP(A45,Components!$A$8:$S$107,13,FALSE)="","",VLOOKUP(A45,Components!$A$8:$S$107,13,FALSE)))</f>
        <v/>
      </c>
      <c r="O45" s="15" t="str">
        <f t="shared" si="7"/>
        <v/>
      </c>
      <c r="P45" s="1" t="str">
        <f>IF(OR(A45="",COUNTIF(Components!$A$8:$A$107,A45)&lt;&gt;1),"",IF(VLOOKUP(A45,Components!$A$8:$S$107,14,FALSE)="","",VLOOKUP(A45,Components!$A$8:$S$107,14,FALSE)))</f>
        <v/>
      </c>
      <c r="Q45" s="14" t="str">
        <f>IF(OR(A45="",COUNTIF(Components!$A$8:$A$107,A45)&lt;&gt;1),"",IF(VLOOKUP(A45,Components!$A$8:$S$107,15,FALSE)="","",VLOOKUP(A45,Components!$A$8:$S$107,15,FALSE)))</f>
        <v/>
      </c>
      <c r="R45" s="14" t="str">
        <f>IF(OR(A45="",COUNTIF(Components!$A$8:$A$107,A45)&lt;&gt;1),"",IF(VLOOKUP(A45,Components!$A$8:$S$107,16,FALSE)="","",VLOOKUP(A45,Components!$A$8:$S$107,16,FALSE)))</f>
        <v/>
      </c>
      <c r="S45" s="14" t="str">
        <f>IF(OR(A45="",COUNTIF(Components!$A$8:$A$107,A45)&lt;&gt;1),"",IF(VLOOKUP(A45,Components!$A$8:$S$107,17,FALSE)="","",VLOOKUP(A45,Components!$A$8:$S$107,17,FALSE)))</f>
        <v/>
      </c>
      <c r="T45" s="15" t="str">
        <f>IF(OR(A45="",COUNTIF(Components!$A$8:$A$107,A45)&lt;&gt;1),"",IF(VLOOKUP(A45,Components!$A$8:$S$107,18,FALSE)="","",VLOOKUP(A45,Components!$A$8:$S$107,18,FALSE)))</f>
        <v/>
      </c>
      <c r="U45" s="15" t="str">
        <f t="shared" si="8"/>
        <v/>
      </c>
    </row>
    <row r="46" spans="1:21" ht="48" customHeight="1">
      <c r="A46" s="4"/>
      <c r="B46" s="11"/>
      <c r="C46" s="6" t="str">
        <f>IF(A46="","",IF(COUNTIF(Components!$A$8:$A$107,A46)&lt;&gt;1,"Pending",VLOOKUP(A46,Components!$A$8:$F$107,5,FALSE)))</f>
        <v/>
      </c>
      <c r="D46" s="5"/>
      <c r="E46" s="6" t="str">
        <f t="shared" si="5"/>
        <v/>
      </c>
      <c r="F46" s="6" t="str">
        <f t="shared" si="6"/>
        <v/>
      </c>
      <c r="G46" s="1" t="str">
        <f>IF(A46="",IF(OR(NOT(ISBLANK(B46)),NOT(ISBLANK(D46))),"Needs component",""),IF(COUNTIF(Components!$A$8:$A$107,A46)&lt;&gt;1,"Invalid component",IF(ISBLANK(B46),"Needs quantity",IF(NOT(ISNUMBER(B46)),"Invalid quantity",IF(OR(B46&lt;0,B46&lt;&gt;INT(B46)),"Invalid quantity",IF(NOT(ISNUMBER(E46)),"Needs heat input",IF(NOT(ISBLANK(D46)),"Override used","Catalog basis")))))))</f>
        <v/>
      </c>
      <c r="H46" s="1"/>
      <c r="I46" s="12" t="str">
        <f>IF(A46="","",IF(COUNTIF(Components!$A$8:$A$107,A46)&lt;&gt;1,"Select a unique catalog component",VLOOKUP(A46,Components!$A$8:$F$107,6,FALSE)))</f>
        <v/>
      </c>
      <c r="J46" s="1" t="str">
        <f>IF(OR(A46="",COUNTIF(Components!$A$8:$A$107,A46)&lt;&gt;1),"",IF(VLOOKUP(A46,Components!$A$8:$S$107,9,FALSE)="","",VLOOKUP(A46,Components!$A$8:$S$107,9,FALSE)))</f>
        <v/>
      </c>
      <c r="K46" s="14" t="str">
        <f>IF(OR(A46="",COUNTIF(Components!$A$8:$A$107,A46)&lt;&gt;1),"",IF(VLOOKUP(A46,Components!$A$8:$S$107,10,FALSE)="","",VLOOKUP(A46,Components!$A$8:$S$107,10,FALSE)))</f>
        <v/>
      </c>
      <c r="L46" s="14" t="str">
        <f>IF(OR(A46="",COUNTIF(Components!$A$8:$A$107,A46)&lt;&gt;1),"",IF(VLOOKUP(A46,Components!$A$8:$S$107,11,FALSE)="","",VLOOKUP(A46,Components!$A$8:$S$107,11,FALSE)))</f>
        <v/>
      </c>
      <c r="M46" s="14" t="str">
        <f>IF(OR(A46="",COUNTIF(Components!$A$8:$A$107,A46)&lt;&gt;1),"",IF(VLOOKUP(A46,Components!$A$8:$S$107,12,FALSE)="","",VLOOKUP(A46,Components!$A$8:$S$107,12,FALSE)))</f>
        <v/>
      </c>
      <c r="N46" s="15" t="str">
        <f>IF(OR(A46="",COUNTIF(Components!$A$8:$A$107,A46)&lt;&gt;1),"",IF(VLOOKUP(A46,Components!$A$8:$S$107,13,FALSE)="","",VLOOKUP(A46,Components!$A$8:$S$107,13,FALSE)))</f>
        <v/>
      </c>
      <c r="O46" s="15" t="str">
        <f t="shared" si="7"/>
        <v/>
      </c>
      <c r="P46" s="1" t="str">
        <f>IF(OR(A46="",COUNTIF(Components!$A$8:$A$107,A46)&lt;&gt;1),"",IF(VLOOKUP(A46,Components!$A$8:$S$107,14,FALSE)="","",VLOOKUP(A46,Components!$A$8:$S$107,14,FALSE)))</f>
        <v/>
      </c>
      <c r="Q46" s="14" t="str">
        <f>IF(OR(A46="",COUNTIF(Components!$A$8:$A$107,A46)&lt;&gt;1),"",IF(VLOOKUP(A46,Components!$A$8:$S$107,15,FALSE)="","",VLOOKUP(A46,Components!$A$8:$S$107,15,FALSE)))</f>
        <v/>
      </c>
      <c r="R46" s="14" t="str">
        <f>IF(OR(A46="",COUNTIF(Components!$A$8:$A$107,A46)&lt;&gt;1),"",IF(VLOOKUP(A46,Components!$A$8:$S$107,16,FALSE)="","",VLOOKUP(A46,Components!$A$8:$S$107,16,FALSE)))</f>
        <v/>
      </c>
      <c r="S46" s="14" t="str">
        <f>IF(OR(A46="",COUNTIF(Components!$A$8:$A$107,A46)&lt;&gt;1),"",IF(VLOOKUP(A46,Components!$A$8:$S$107,17,FALSE)="","",VLOOKUP(A46,Components!$A$8:$S$107,17,FALSE)))</f>
        <v/>
      </c>
      <c r="T46" s="15" t="str">
        <f>IF(OR(A46="",COUNTIF(Components!$A$8:$A$107,A46)&lt;&gt;1),"",IF(VLOOKUP(A46,Components!$A$8:$S$107,18,FALSE)="","",VLOOKUP(A46,Components!$A$8:$S$107,18,FALSE)))</f>
        <v/>
      </c>
      <c r="U46" s="15" t="str">
        <f t="shared" si="8"/>
        <v/>
      </c>
    </row>
    <row r="47" spans="1:21" ht="48" customHeight="1">
      <c r="A47" s="4"/>
      <c r="B47" s="11"/>
      <c r="C47" s="6" t="str">
        <f>IF(A47="","",IF(COUNTIF(Components!$A$8:$A$107,A47)&lt;&gt;1,"Pending",VLOOKUP(A47,Components!$A$8:$F$107,5,FALSE)))</f>
        <v/>
      </c>
      <c r="D47" s="5"/>
      <c r="E47" s="6" t="str">
        <f t="shared" si="5"/>
        <v/>
      </c>
      <c r="F47" s="6" t="str">
        <f t="shared" si="6"/>
        <v/>
      </c>
      <c r="G47" s="1" t="str">
        <f>IF(A47="",IF(OR(NOT(ISBLANK(B47)),NOT(ISBLANK(D47))),"Needs component",""),IF(COUNTIF(Components!$A$8:$A$107,A47)&lt;&gt;1,"Invalid component",IF(ISBLANK(B47),"Needs quantity",IF(NOT(ISNUMBER(B47)),"Invalid quantity",IF(OR(B47&lt;0,B47&lt;&gt;INT(B47)),"Invalid quantity",IF(NOT(ISNUMBER(E47)),"Needs heat input",IF(NOT(ISBLANK(D47)),"Override used","Catalog basis")))))))</f>
        <v/>
      </c>
      <c r="H47" s="1"/>
      <c r="I47" s="12" t="str">
        <f>IF(A47="","",IF(COUNTIF(Components!$A$8:$A$107,A47)&lt;&gt;1,"Select a unique catalog component",VLOOKUP(A47,Components!$A$8:$F$107,6,FALSE)))</f>
        <v/>
      </c>
      <c r="J47" s="1" t="str">
        <f>IF(OR(A47="",COUNTIF(Components!$A$8:$A$107,A47)&lt;&gt;1),"",IF(VLOOKUP(A47,Components!$A$8:$S$107,9,FALSE)="","",VLOOKUP(A47,Components!$A$8:$S$107,9,FALSE)))</f>
        <v/>
      </c>
      <c r="K47" s="14" t="str">
        <f>IF(OR(A47="",COUNTIF(Components!$A$8:$A$107,A47)&lt;&gt;1),"",IF(VLOOKUP(A47,Components!$A$8:$S$107,10,FALSE)="","",VLOOKUP(A47,Components!$A$8:$S$107,10,FALSE)))</f>
        <v/>
      </c>
      <c r="L47" s="14" t="str">
        <f>IF(OR(A47="",COUNTIF(Components!$A$8:$A$107,A47)&lt;&gt;1),"",IF(VLOOKUP(A47,Components!$A$8:$S$107,11,FALSE)="","",VLOOKUP(A47,Components!$A$8:$S$107,11,FALSE)))</f>
        <v/>
      </c>
      <c r="M47" s="14" t="str">
        <f>IF(OR(A47="",COUNTIF(Components!$A$8:$A$107,A47)&lt;&gt;1),"",IF(VLOOKUP(A47,Components!$A$8:$S$107,12,FALSE)="","",VLOOKUP(A47,Components!$A$8:$S$107,12,FALSE)))</f>
        <v/>
      </c>
      <c r="N47" s="15" t="str">
        <f>IF(OR(A47="",COUNTIF(Components!$A$8:$A$107,A47)&lt;&gt;1),"",IF(VLOOKUP(A47,Components!$A$8:$S$107,13,FALSE)="","",VLOOKUP(A47,Components!$A$8:$S$107,13,FALSE)))</f>
        <v/>
      </c>
      <c r="O47" s="15" t="str">
        <f t="shared" si="7"/>
        <v/>
      </c>
      <c r="P47" s="1" t="str">
        <f>IF(OR(A47="",COUNTIF(Components!$A$8:$A$107,A47)&lt;&gt;1),"",IF(VLOOKUP(A47,Components!$A$8:$S$107,14,FALSE)="","",VLOOKUP(A47,Components!$A$8:$S$107,14,FALSE)))</f>
        <v/>
      </c>
      <c r="Q47" s="14" t="str">
        <f>IF(OR(A47="",COUNTIF(Components!$A$8:$A$107,A47)&lt;&gt;1),"",IF(VLOOKUP(A47,Components!$A$8:$S$107,15,FALSE)="","",VLOOKUP(A47,Components!$A$8:$S$107,15,FALSE)))</f>
        <v/>
      </c>
      <c r="R47" s="14" t="str">
        <f>IF(OR(A47="",COUNTIF(Components!$A$8:$A$107,A47)&lt;&gt;1),"",IF(VLOOKUP(A47,Components!$A$8:$S$107,16,FALSE)="","",VLOOKUP(A47,Components!$A$8:$S$107,16,FALSE)))</f>
        <v/>
      </c>
      <c r="S47" s="14" t="str">
        <f>IF(OR(A47="",COUNTIF(Components!$A$8:$A$107,A47)&lt;&gt;1),"",IF(VLOOKUP(A47,Components!$A$8:$S$107,17,FALSE)="","",VLOOKUP(A47,Components!$A$8:$S$107,17,FALSE)))</f>
        <v/>
      </c>
      <c r="T47" s="15" t="str">
        <f>IF(OR(A47="",COUNTIF(Components!$A$8:$A$107,A47)&lt;&gt;1),"",IF(VLOOKUP(A47,Components!$A$8:$S$107,18,FALSE)="","",VLOOKUP(A47,Components!$A$8:$S$107,18,FALSE)))</f>
        <v/>
      </c>
      <c r="U47" s="15" t="str">
        <f t="shared" si="8"/>
        <v/>
      </c>
    </row>
    <row r="48" spans="1:21" ht="48" customHeight="1">
      <c r="A48" s="4"/>
      <c r="B48" s="11"/>
      <c r="C48" s="6" t="str">
        <f>IF(A48="","",IF(COUNTIF(Components!$A$8:$A$107,A48)&lt;&gt;1,"Pending",VLOOKUP(A48,Components!$A$8:$F$107,5,FALSE)))</f>
        <v/>
      </c>
      <c r="D48" s="5"/>
      <c r="E48" s="6" t="str">
        <f t="shared" si="5"/>
        <v/>
      </c>
      <c r="F48" s="6" t="str">
        <f t="shared" si="6"/>
        <v/>
      </c>
      <c r="G48" s="1" t="str">
        <f>IF(A48="",IF(OR(NOT(ISBLANK(B48)),NOT(ISBLANK(D48))),"Needs component",""),IF(COUNTIF(Components!$A$8:$A$107,A48)&lt;&gt;1,"Invalid component",IF(ISBLANK(B48),"Needs quantity",IF(NOT(ISNUMBER(B48)),"Invalid quantity",IF(OR(B48&lt;0,B48&lt;&gt;INT(B48)),"Invalid quantity",IF(NOT(ISNUMBER(E48)),"Needs heat input",IF(NOT(ISBLANK(D48)),"Override used","Catalog basis")))))))</f>
        <v/>
      </c>
      <c r="H48" s="1"/>
      <c r="I48" s="12" t="str">
        <f>IF(A48="","",IF(COUNTIF(Components!$A$8:$A$107,A48)&lt;&gt;1,"Select a unique catalog component",VLOOKUP(A48,Components!$A$8:$F$107,6,FALSE)))</f>
        <v/>
      </c>
      <c r="J48" s="1" t="str">
        <f>IF(OR(A48="",COUNTIF(Components!$A$8:$A$107,A48)&lt;&gt;1),"",IF(VLOOKUP(A48,Components!$A$8:$S$107,9,FALSE)="","",VLOOKUP(A48,Components!$A$8:$S$107,9,FALSE)))</f>
        <v/>
      </c>
      <c r="K48" s="14" t="str">
        <f>IF(OR(A48="",COUNTIF(Components!$A$8:$A$107,A48)&lt;&gt;1),"",IF(VLOOKUP(A48,Components!$A$8:$S$107,10,FALSE)="","",VLOOKUP(A48,Components!$A$8:$S$107,10,FALSE)))</f>
        <v/>
      </c>
      <c r="L48" s="14" t="str">
        <f>IF(OR(A48="",COUNTIF(Components!$A$8:$A$107,A48)&lt;&gt;1),"",IF(VLOOKUP(A48,Components!$A$8:$S$107,11,FALSE)="","",VLOOKUP(A48,Components!$A$8:$S$107,11,FALSE)))</f>
        <v/>
      </c>
      <c r="M48" s="14" t="str">
        <f>IF(OR(A48="",COUNTIF(Components!$A$8:$A$107,A48)&lt;&gt;1),"",IF(VLOOKUP(A48,Components!$A$8:$S$107,12,FALSE)="","",VLOOKUP(A48,Components!$A$8:$S$107,12,FALSE)))</f>
        <v/>
      </c>
      <c r="N48" s="15" t="str">
        <f>IF(OR(A48="",COUNTIF(Components!$A$8:$A$107,A48)&lt;&gt;1),"",IF(VLOOKUP(A48,Components!$A$8:$S$107,13,FALSE)="","",VLOOKUP(A48,Components!$A$8:$S$107,13,FALSE)))</f>
        <v/>
      </c>
      <c r="O48" s="15" t="str">
        <f t="shared" si="7"/>
        <v/>
      </c>
      <c r="P48" s="1" t="str">
        <f>IF(OR(A48="",COUNTIF(Components!$A$8:$A$107,A48)&lt;&gt;1),"",IF(VLOOKUP(A48,Components!$A$8:$S$107,14,FALSE)="","",VLOOKUP(A48,Components!$A$8:$S$107,14,FALSE)))</f>
        <v/>
      </c>
      <c r="Q48" s="14" t="str">
        <f>IF(OR(A48="",COUNTIF(Components!$A$8:$A$107,A48)&lt;&gt;1),"",IF(VLOOKUP(A48,Components!$A$8:$S$107,15,FALSE)="","",VLOOKUP(A48,Components!$A$8:$S$107,15,FALSE)))</f>
        <v/>
      </c>
      <c r="R48" s="14" t="str">
        <f>IF(OR(A48="",COUNTIF(Components!$A$8:$A$107,A48)&lt;&gt;1),"",IF(VLOOKUP(A48,Components!$A$8:$S$107,16,FALSE)="","",VLOOKUP(A48,Components!$A$8:$S$107,16,FALSE)))</f>
        <v/>
      </c>
      <c r="S48" s="14" t="str">
        <f>IF(OR(A48="",COUNTIF(Components!$A$8:$A$107,A48)&lt;&gt;1),"",IF(VLOOKUP(A48,Components!$A$8:$S$107,17,FALSE)="","",VLOOKUP(A48,Components!$A$8:$S$107,17,FALSE)))</f>
        <v/>
      </c>
      <c r="T48" s="15" t="str">
        <f>IF(OR(A48="",COUNTIF(Components!$A$8:$A$107,A48)&lt;&gt;1),"",IF(VLOOKUP(A48,Components!$A$8:$S$107,18,FALSE)="","",VLOOKUP(A48,Components!$A$8:$S$107,18,FALSE)))</f>
        <v/>
      </c>
      <c r="U48" s="15" t="str">
        <f t="shared" si="8"/>
        <v/>
      </c>
    </row>
    <row r="49" spans="1:21" ht="48" customHeight="1">
      <c r="A49" s="4"/>
      <c r="B49" s="11"/>
      <c r="C49" s="6" t="str">
        <f>IF(A49="","",IF(COUNTIF(Components!$A$8:$A$107,A49)&lt;&gt;1,"Pending",VLOOKUP(A49,Components!$A$8:$F$107,5,FALSE)))</f>
        <v/>
      </c>
      <c r="D49" s="5"/>
      <c r="E49" s="6" t="str">
        <f t="shared" si="5"/>
        <v/>
      </c>
      <c r="F49" s="6" t="str">
        <f t="shared" si="6"/>
        <v/>
      </c>
      <c r="G49" s="1" t="str">
        <f>IF(A49="",IF(OR(NOT(ISBLANK(B49)),NOT(ISBLANK(D49))),"Needs component",""),IF(COUNTIF(Components!$A$8:$A$107,A49)&lt;&gt;1,"Invalid component",IF(ISBLANK(B49),"Needs quantity",IF(NOT(ISNUMBER(B49)),"Invalid quantity",IF(OR(B49&lt;0,B49&lt;&gt;INT(B49)),"Invalid quantity",IF(NOT(ISNUMBER(E49)),"Needs heat input",IF(NOT(ISBLANK(D49)),"Override used","Catalog basis")))))))</f>
        <v/>
      </c>
      <c r="H49" s="1"/>
      <c r="I49" s="12" t="str">
        <f>IF(A49="","",IF(COUNTIF(Components!$A$8:$A$107,A49)&lt;&gt;1,"Select a unique catalog component",VLOOKUP(A49,Components!$A$8:$F$107,6,FALSE)))</f>
        <v/>
      </c>
      <c r="J49" s="1" t="str">
        <f>IF(OR(A49="",COUNTIF(Components!$A$8:$A$107,A49)&lt;&gt;1),"",IF(VLOOKUP(A49,Components!$A$8:$S$107,9,FALSE)="","",VLOOKUP(A49,Components!$A$8:$S$107,9,FALSE)))</f>
        <v/>
      </c>
      <c r="K49" s="14" t="str">
        <f>IF(OR(A49="",COUNTIF(Components!$A$8:$A$107,A49)&lt;&gt;1),"",IF(VLOOKUP(A49,Components!$A$8:$S$107,10,FALSE)="","",VLOOKUP(A49,Components!$A$8:$S$107,10,FALSE)))</f>
        <v/>
      </c>
      <c r="L49" s="14" t="str">
        <f>IF(OR(A49="",COUNTIF(Components!$A$8:$A$107,A49)&lt;&gt;1),"",IF(VLOOKUP(A49,Components!$A$8:$S$107,11,FALSE)="","",VLOOKUP(A49,Components!$A$8:$S$107,11,FALSE)))</f>
        <v/>
      </c>
      <c r="M49" s="14" t="str">
        <f>IF(OR(A49="",COUNTIF(Components!$A$8:$A$107,A49)&lt;&gt;1),"",IF(VLOOKUP(A49,Components!$A$8:$S$107,12,FALSE)="","",VLOOKUP(A49,Components!$A$8:$S$107,12,FALSE)))</f>
        <v/>
      </c>
      <c r="N49" s="15" t="str">
        <f>IF(OR(A49="",COUNTIF(Components!$A$8:$A$107,A49)&lt;&gt;1),"",IF(VLOOKUP(A49,Components!$A$8:$S$107,13,FALSE)="","",VLOOKUP(A49,Components!$A$8:$S$107,13,FALSE)))</f>
        <v/>
      </c>
      <c r="O49" s="15" t="str">
        <f t="shared" si="7"/>
        <v/>
      </c>
      <c r="P49" s="1" t="str">
        <f>IF(OR(A49="",COUNTIF(Components!$A$8:$A$107,A49)&lt;&gt;1),"",IF(VLOOKUP(A49,Components!$A$8:$S$107,14,FALSE)="","",VLOOKUP(A49,Components!$A$8:$S$107,14,FALSE)))</f>
        <v/>
      </c>
      <c r="Q49" s="14" t="str">
        <f>IF(OR(A49="",COUNTIF(Components!$A$8:$A$107,A49)&lt;&gt;1),"",IF(VLOOKUP(A49,Components!$A$8:$S$107,15,FALSE)="","",VLOOKUP(A49,Components!$A$8:$S$107,15,FALSE)))</f>
        <v/>
      </c>
      <c r="R49" s="14" t="str">
        <f>IF(OR(A49="",COUNTIF(Components!$A$8:$A$107,A49)&lt;&gt;1),"",IF(VLOOKUP(A49,Components!$A$8:$S$107,16,FALSE)="","",VLOOKUP(A49,Components!$A$8:$S$107,16,FALSE)))</f>
        <v/>
      </c>
      <c r="S49" s="14" t="str">
        <f>IF(OR(A49="",COUNTIF(Components!$A$8:$A$107,A49)&lt;&gt;1),"",IF(VLOOKUP(A49,Components!$A$8:$S$107,17,FALSE)="","",VLOOKUP(A49,Components!$A$8:$S$107,17,FALSE)))</f>
        <v/>
      </c>
      <c r="T49" s="15" t="str">
        <f>IF(OR(A49="",COUNTIF(Components!$A$8:$A$107,A49)&lt;&gt;1),"",IF(VLOOKUP(A49,Components!$A$8:$S$107,18,FALSE)="","",VLOOKUP(A49,Components!$A$8:$S$107,18,FALSE)))</f>
        <v/>
      </c>
      <c r="U49" s="15" t="str">
        <f t="shared" si="8"/>
        <v/>
      </c>
    </row>
    <row r="50" spans="1:21" ht="48" customHeight="1">
      <c r="A50" s="4"/>
      <c r="B50" s="11"/>
      <c r="C50" s="6" t="str">
        <f>IF(A50="","",IF(COUNTIF(Components!$A$8:$A$107,A50)&lt;&gt;1,"Pending",VLOOKUP(A50,Components!$A$8:$F$107,5,FALSE)))</f>
        <v/>
      </c>
      <c r="D50" s="5"/>
      <c r="E50" s="6" t="str">
        <f t="shared" si="5"/>
        <v/>
      </c>
      <c r="F50" s="6" t="str">
        <f t="shared" si="6"/>
        <v/>
      </c>
      <c r="G50" s="1" t="str">
        <f>IF(A50="",IF(OR(NOT(ISBLANK(B50)),NOT(ISBLANK(D50))),"Needs component",""),IF(COUNTIF(Components!$A$8:$A$107,A50)&lt;&gt;1,"Invalid component",IF(ISBLANK(B50),"Needs quantity",IF(NOT(ISNUMBER(B50)),"Invalid quantity",IF(OR(B50&lt;0,B50&lt;&gt;INT(B50)),"Invalid quantity",IF(NOT(ISNUMBER(E50)),"Needs heat input",IF(NOT(ISBLANK(D50)),"Override used","Catalog basis")))))))</f>
        <v/>
      </c>
      <c r="H50" s="1"/>
      <c r="I50" s="12" t="str">
        <f>IF(A50="","",IF(COUNTIF(Components!$A$8:$A$107,A50)&lt;&gt;1,"Select a unique catalog component",VLOOKUP(A50,Components!$A$8:$F$107,6,FALSE)))</f>
        <v/>
      </c>
      <c r="J50" s="1" t="str">
        <f>IF(OR(A50="",COUNTIF(Components!$A$8:$A$107,A50)&lt;&gt;1),"",IF(VLOOKUP(A50,Components!$A$8:$S$107,9,FALSE)="","",VLOOKUP(A50,Components!$A$8:$S$107,9,FALSE)))</f>
        <v/>
      </c>
      <c r="K50" s="14" t="str">
        <f>IF(OR(A50="",COUNTIF(Components!$A$8:$A$107,A50)&lt;&gt;1),"",IF(VLOOKUP(A50,Components!$A$8:$S$107,10,FALSE)="","",VLOOKUP(A50,Components!$A$8:$S$107,10,FALSE)))</f>
        <v/>
      </c>
      <c r="L50" s="14" t="str">
        <f>IF(OR(A50="",COUNTIF(Components!$A$8:$A$107,A50)&lt;&gt;1),"",IF(VLOOKUP(A50,Components!$A$8:$S$107,11,FALSE)="","",VLOOKUP(A50,Components!$A$8:$S$107,11,FALSE)))</f>
        <v/>
      </c>
      <c r="M50" s="14" t="str">
        <f>IF(OR(A50="",COUNTIF(Components!$A$8:$A$107,A50)&lt;&gt;1),"",IF(VLOOKUP(A50,Components!$A$8:$S$107,12,FALSE)="","",VLOOKUP(A50,Components!$A$8:$S$107,12,FALSE)))</f>
        <v/>
      </c>
      <c r="N50" s="15" t="str">
        <f>IF(OR(A50="",COUNTIF(Components!$A$8:$A$107,A50)&lt;&gt;1),"",IF(VLOOKUP(A50,Components!$A$8:$S$107,13,FALSE)="","",VLOOKUP(A50,Components!$A$8:$S$107,13,FALSE)))</f>
        <v/>
      </c>
      <c r="O50" s="15" t="str">
        <f t="shared" si="7"/>
        <v/>
      </c>
      <c r="P50" s="1" t="str">
        <f>IF(OR(A50="",COUNTIF(Components!$A$8:$A$107,A50)&lt;&gt;1),"",IF(VLOOKUP(A50,Components!$A$8:$S$107,14,FALSE)="","",VLOOKUP(A50,Components!$A$8:$S$107,14,FALSE)))</f>
        <v/>
      </c>
      <c r="Q50" s="14" t="str">
        <f>IF(OR(A50="",COUNTIF(Components!$A$8:$A$107,A50)&lt;&gt;1),"",IF(VLOOKUP(A50,Components!$A$8:$S$107,15,FALSE)="","",VLOOKUP(A50,Components!$A$8:$S$107,15,FALSE)))</f>
        <v/>
      </c>
      <c r="R50" s="14" t="str">
        <f>IF(OR(A50="",COUNTIF(Components!$A$8:$A$107,A50)&lt;&gt;1),"",IF(VLOOKUP(A50,Components!$A$8:$S$107,16,FALSE)="","",VLOOKUP(A50,Components!$A$8:$S$107,16,FALSE)))</f>
        <v/>
      </c>
      <c r="S50" s="14" t="str">
        <f>IF(OR(A50="",COUNTIF(Components!$A$8:$A$107,A50)&lt;&gt;1),"",IF(VLOOKUP(A50,Components!$A$8:$S$107,17,FALSE)="","",VLOOKUP(A50,Components!$A$8:$S$107,17,FALSE)))</f>
        <v/>
      </c>
      <c r="T50" s="15" t="str">
        <f>IF(OR(A50="",COUNTIF(Components!$A$8:$A$107,A50)&lt;&gt;1),"",IF(VLOOKUP(A50,Components!$A$8:$S$107,18,FALSE)="","",VLOOKUP(A50,Components!$A$8:$S$107,18,FALSE)))</f>
        <v/>
      </c>
      <c r="U50" s="15" t="str">
        <f t="shared" si="8"/>
        <v/>
      </c>
    </row>
    <row r="51" spans="1:21" ht="48" customHeight="1">
      <c r="A51" s="4"/>
      <c r="B51" s="11"/>
      <c r="C51" s="6" t="str">
        <f>IF(A51="","",IF(COUNTIF(Components!$A$8:$A$107,A51)&lt;&gt;1,"Pending",VLOOKUP(A51,Components!$A$8:$F$107,5,FALSE)))</f>
        <v/>
      </c>
      <c r="D51" s="5"/>
      <c r="E51" s="6" t="str">
        <f t="shared" si="5"/>
        <v/>
      </c>
      <c r="F51" s="6" t="str">
        <f t="shared" si="6"/>
        <v/>
      </c>
      <c r="G51" s="1" t="str">
        <f>IF(A51="",IF(OR(NOT(ISBLANK(B51)),NOT(ISBLANK(D51))),"Needs component",""),IF(COUNTIF(Components!$A$8:$A$107,A51)&lt;&gt;1,"Invalid component",IF(ISBLANK(B51),"Needs quantity",IF(NOT(ISNUMBER(B51)),"Invalid quantity",IF(OR(B51&lt;0,B51&lt;&gt;INT(B51)),"Invalid quantity",IF(NOT(ISNUMBER(E51)),"Needs heat input",IF(NOT(ISBLANK(D51)),"Override used","Catalog basis")))))))</f>
        <v/>
      </c>
      <c r="H51" s="1"/>
      <c r="I51" s="12" t="str">
        <f>IF(A51="","",IF(COUNTIF(Components!$A$8:$A$107,A51)&lt;&gt;1,"Select a unique catalog component",VLOOKUP(A51,Components!$A$8:$F$107,6,FALSE)))</f>
        <v/>
      </c>
      <c r="J51" s="1" t="str">
        <f>IF(OR(A51="",COUNTIF(Components!$A$8:$A$107,A51)&lt;&gt;1),"",IF(VLOOKUP(A51,Components!$A$8:$S$107,9,FALSE)="","",VLOOKUP(A51,Components!$A$8:$S$107,9,FALSE)))</f>
        <v/>
      </c>
      <c r="K51" s="14" t="str">
        <f>IF(OR(A51="",COUNTIF(Components!$A$8:$A$107,A51)&lt;&gt;1),"",IF(VLOOKUP(A51,Components!$A$8:$S$107,10,FALSE)="","",VLOOKUP(A51,Components!$A$8:$S$107,10,FALSE)))</f>
        <v/>
      </c>
      <c r="L51" s="14" t="str">
        <f>IF(OR(A51="",COUNTIF(Components!$A$8:$A$107,A51)&lt;&gt;1),"",IF(VLOOKUP(A51,Components!$A$8:$S$107,11,FALSE)="","",VLOOKUP(A51,Components!$A$8:$S$107,11,FALSE)))</f>
        <v/>
      </c>
      <c r="M51" s="14" t="str">
        <f>IF(OR(A51="",COUNTIF(Components!$A$8:$A$107,A51)&lt;&gt;1),"",IF(VLOOKUP(A51,Components!$A$8:$S$107,12,FALSE)="","",VLOOKUP(A51,Components!$A$8:$S$107,12,FALSE)))</f>
        <v/>
      </c>
      <c r="N51" s="15" t="str">
        <f>IF(OR(A51="",COUNTIF(Components!$A$8:$A$107,A51)&lt;&gt;1),"",IF(VLOOKUP(A51,Components!$A$8:$S$107,13,FALSE)="","",VLOOKUP(A51,Components!$A$8:$S$107,13,FALSE)))</f>
        <v/>
      </c>
      <c r="O51" s="15" t="str">
        <f t="shared" si="7"/>
        <v/>
      </c>
      <c r="P51" s="1" t="str">
        <f>IF(OR(A51="",COUNTIF(Components!$A$8:$A$107,A51)&lt;&gt;1),"",IF(VLOOKUP(A51,Components!$A$8:$S$107,14,FALSE)="","",VLOOKUP(A51,Components!$A$8:$S$107,14,FALSE)))</f>
        <v/>
      </c>
      <c r="Q51" s="14" t="str">
        <f>IF(OR(A51="",COUNTIF(Components!$A$8:$A$107,A51)&lt;&gt;1),"",IF(VLOOKUP(A51,Components!$A$8:$S$107,15,FALSE)="","",VLOOKUP(A51,Components!$A$8:$S$107,15,FALSE)))</f>
        <v/>
      </c>
      <c r="R51" s="14" t="str">
        <f>IF(OR(A51="",COUNTIF(Components!$A$8:$A$107,A51)&lt;&gt;1),"",IF(VLOOKUP(A51,Components!$A$8:$S$107,16,FALSE)="","",VLOOKUP(A51,Components!$A$8:$S$107,16,FALSE)))</f>
        <v/>
      </c>
      <c r="S51" s="14" t="str">
        <f>IF(OR(A51="",COUNTIF(Components!$A$8:$A$107,A51)&lt;&gt;1),"",IF(VLOOKUP(A51,Components!$A$8:$S$107,17,FALSE)="","",VLOOKUP(A51,Components!$A$8:$S$107,17,FALSE)))</f>
        <v/>
      </c>
      <c r="T51" s="15" t="str">
        <f>IF(OR(A51="",COUNTIF(Components!$A$8:$A$107,A51)&lt;&gt;1),"",IF(VLOOKUP(A51,Components!$A$8:$S$107,18,FALSE)="","",VLOOKUP(A51,Components!$A$8:$S$107,18,FALSE)))</f>
        <v/>
      </c>
      <c r="U51" s="15" t="str">
        <f t="shared" si="8"/>
        <v/>
      </c>
    </row>
    <row r="52" spans="1:21" ht="48" customHeight="1">
      <c r="A52" s="4"/>
      <c r="B52" s="11"/>
      <c r="C52" s="6" t="str">
        <f>IF(A52="","",IF(COUNTIF(Components!$A$8:$A$107,A52)&lt;&gt;1,"Pending",VLOOKUP(A52,Components!$A$8:$F$107,5,FALSE)))</f>
        <v/>
      </c>
      <c r="D52" s="5"/>
      <c r="E52" s="6" t="str">
        <f t="shared" si="5"/>
        <v/>
      </c>
      <c r="F52" s="6" t="str">
        <f t="shared" si="6"/>
        <v/>
      </c>
      <c r="G52" s="1" t="str">
        <f>IF(A52="",IF(OR(NOT(ISBLANK(B52)),NOT(ISBLANK(D52))),"Needs component",""),IF(COUNTIF(Components!$A$8:$A$107,A52)&lt;&gt;1,"Invalid component",IF(ISBLANK(B52),"Needs quantity",IF(NOT(ISNUMBER(B52)),"Invalid quantity",IF(OR(B52&lt;0,B52&lt;&gt;INT(B52)),"Invalid quantity",IF(NOT(ISNUMBER(E52)),"Needs heat input",IF(NOT(ISBLANK(D52)),"Override used","Catalog basis")))))))</f>
        <v/>
      </c>
      <c r="H52" s="1"/>
      <c r="I52" s="12" t="str">
        <f>IF(A52="","",IF(COUNTIF(Components!$A$8:$A$107,A52)&lt;&gt;1,"Select a unique catalog component",VLOOKUP(A52,Components!$A$8:$F$107,6,FALSE)))</f>
        <v/>
      </c>
      <c r="J52" s="1" t="str">
        <f>IF(OR(A52="",COUNTIF(Components!$A$8:$A$107,A52)&lt;&gt;1),"",IF(VLOOKUP(A52,Components!$A$8:$S$107,9,FALSE)="","",VLOOKUP(A52,Components!$A$8:$S$107,9,FALSE)))</f>
        <v/>
      </c>
      <c r="K52" s="14" t="str">
        <f>IF(OR(A52="",COUNTIF(Components!$A$8:$A$107,A52)&lt;&gt;1),"",IF(VLOOKUP(A52,Components!$A$8:$S$107,10,FALSE)="","",VLOOKUP(A52,Components!$A$8:$S$107,10,FALSE)))</f>
        <v/>
      </c>
      <c r="L52" s="14" t="str">
        <f>IF(OR(A52="",COUNTIF(Components!$A$8:$A$107,A52)&lt;&gt;1),"",IF(VLOOKUP(A52,Components!$A$8:$S$107,11,FALSE)="","",VLOOKUP(A52,Components!$A$8:$S$107,11,FALSE)))</f>
        <v/>
      </c>
      <c r="M52" s="14" t="str">
        <f>IF(OR(A52="",COUNTIF(Components!$A$8:$A$107,A52)&lt;&gt;1),"",IF(VLOOKUP(A52,Components!$A$8:$S$107,12,FALSE)="","",VLOOKUP(A52,Components!$A$8:$S$107,12,FALSE)))</f>
        <v/>
      </c>
      <c r="N52" s="15" t="str">
        <f>IF(OR(A52="",COUNTIF(Components!$A$8:$A$107,A52)&lt;&gt;1),"",IF(VLOOKUP(A52,Components!$A$8:$S$107,13,FALSE)="","",VLOOKUP(A52,Components!$A$8:$S$107,13,FALSE)))</f>
        <v/>
      </c>
      <c r="O52" s="15" t="str">
        <f t="shared" si="7"/>
        <v/>
      </c>
      <c r="P52" s="1" t="str">
        <f>IF(OR(A52="",COUNTIF(Components!$A$8:$A$107,A52)&lt;&gt;1),"",IF(VLOOKUP(A52,Components!$A$8:$S$107,14,FALSE)="","",VLOOKUP(A52,Components!$A$8:$S$107,14,FALSE)))</f>
        <v/>
      </c>
      <c r="Q52" s="14" t="str">
        <f>IF(OR(A52="",COUNTIF(Components!$A$8:$A$107,A52)&lt;&gt;1),"",IF(VLOOKUP(A52,Components!$A$8:$S$107,15,FALSE)="","",VLOOKUP(A52,Components!$A$8:$S$107,15,FALSE)))</f>
        <v/>
      </c>
      <c r="R52" s="14" t="str">
        <f>IF(OR(A52="",COUNTIF(Components!$A$8:$A$107,A52)&lt;&gt;1),"",IF(VLOOKUP(A52,Components!$A$8:$S$107,16,FALSE)="","",VLOOKUP(A52,Components!$A$8:$S$107,16,FALSE)))</f>
        <v/>
      </c>
      <c r="S52" s="14" t="str">
        <f>IF(OR(A52="",COUNTIF(Components!$A$8:$A$107,A52)&lt;&gt;1),"",IF(VLOOKUP(A52,Components!$A$8:$S$107,17,FALSE)="","",VLOOKUP(A52,Components!$A$8:$S$107,17,FALSE)))</f>
        <v/>
      </c>
      <c r="T52" s="15" t="str">
        <f>IF(OR(A52="",COUNTIF(Components!$A$8:$A$107,A52)&lt;&gt;1),"",IF(VLOOKUP(A52,Components!$A$8:$S$107,18,FALSE)="","",VLOOKUP(A52,Components!$A$8:$S$107,18,FALSE)))</f>
        <v/>
      </c>
      <c r="U52" s="15" t="str">
        <f t="shared" si="8"/>
        <v/>
      </c>
    </row>
    <row r="53" spans="1:21" ht="48" customHeight="1">
      <c r="A53" s="4"/>
      <c r="B53" s="11"/>
      <c r="C53" s="6" t="str">
        <f>IF(A53="","",IF(COUNTIF(Components!$A$8:$A$107,A53)&lt;&gt;1,"Pending",VLOOKUP(A53,Components!$A$8:$F$107,5,FALSE)))</f>
        <v/>
      </c>
      <c r="D53" s="5"/>
      <c r="E53" s="6" t="str">
        <f t="shared" si="5"/>
        <v/>
      </c>
      <c r="F53" s="6" t="str">
        <f t="shared" si="6"/>
        <v/>
      </c>
      <c r="G53" s="1" t="str">
        <f>IF(A53="",IF(OR(NOT(ISBLANK(B53)),NOT(ISBLANK(D53))),"Needs component",""),IF(COUNTIF(Components!$A$8:$A$107,A53)&lt;&gt;1,"Invalid component",IF(ISBLANK(B53),"Needs quantity",IF(NOT(ISNUMBER(B53)),"Invalid quantity",IF(OR(B53&lt;0,B53&lt;&gt;INT(B53)),"Invalid quantity",IF(NOT(ISNUMBER(E53)),"Needs heat input",IF(NOT(ISBLANK(D53)),"Override used","Catalog basis")))))))</f>
        <v/>
      </c>
      <c r="H53" s="1"/>
      <c r="I53" s="12" t="str">
        <f>IF(A53="","",IF(COUNTIF(Components!$A$8:$A$107,A53)&lt;&gt;1,"Select a unique catalog component",VLOOKUP(A53,Components!$A$8:$F$107,6,FALSE)))</f>
        <v/>
      </c>
      <c r="J53" s="1" t="str">
        <f>IF(OR(A53="",COUNTIF(Components!$A$8:$A$107,A53)&lt;&gt;1),"",IF(VLOOKUP(A53,Components!$A$8:$S$107,9,FALSE)="","",VLOOKUP(A53,Components!$A$8:$S$107,9,FALSE)))</f>
        <v/>
      </c>
      <c r="K53" s="14" t="str">
        <f>IF(OR(A53="",COUNTIF(Components!$A$8:$A$107,A53)&lt;&gt;1),"",IF(VLOOKUP(A53,Components!$A$8:$S$107,10,FALSE)="","",VLOOKUP(A53,Components!$A$8:$S$107,10,FALSE)))</f>
        <v/>
      </c>
      <c r="L53" s="14" t="str">
        <f>IF(OR(A53="",COUNTIF(Components!$A$8:$A$107,A53)&lt;&gt;1),"",IF(VLOOKUP(A53,Components!$A$8:$S$107,11,FALSE)="","",VLOOKUP(A53,Components!$A$8:$S$107,11,FALSE)))</f>
        <v/>
      </c>
      <c r="M53" s="14" t="str">
        <f>IF(OR(A53="",COUNTIF(Components!$A$8:$A$107,A53)&lt;&gt;1),"",IF(VLOOKUP(A53,Components!$A$8:$S$107,12,FALSE)="","",VLOOKUP(A53,Components!$A$8:$S$107,12,FALSE)))</f>
        <v/>
      </c>
      <c r="N53" s="15" t="str">
        <f>IF(OR(A53="",COUNTIF(Components!$A$8:$A$107,A53)&lt;&gt;1),"",IF(VLOOKUP(A53,Components!$A$8:$S$107,13,FALSE)="","",VLOOKUP(A53,Components!$A$8:$S$107,13,FALSE)))</f>
        <v/>
      </c>
      <c r="O53" s="15" t="str">
        <f t="shared" si="7"/>
        <v/>
      </c>
      <c r="P53" s="1" t="str">
        <f>IF(OR(A53="",COUNTIF(Components!$A$8:$A$107,A53)&lt;&gt;1),"",IF(VLOOKUP(A53,Components!$A$8:$S$107,14,FALSE)="","",VLOOKUP(A53,Components!$A$8:$S$107,14,FALSE)))</f>
        <v/>
      </c>
      <c r="Q53" s="14" t="str">
        <f>IF(OR(A53="",COUNTIF(Components!$A$8:$A$107,A53)&lt;&gt;1),"",IF(VLOOKUP(A53,Components!$A$8:$S$107,15,FALSE)="","",VLOOKUP(A53,Components!$A$8:$S$107,15,FALSE)))</f>
        <v/>
      </c>
      <c r="R53" s="14" t="str">
        <f>IF(OR(A53="",COUNTIF(Components!$A$8:$A$107,A53)&lt;&gt;1),"",IF(VLOOKUP(A53,Components!$A$8:$S$107,16,FALSE)="","",VLOOKUP(A53,Components!$A$8:$S$107,16,FALSE)))</f>
        <v/>
      </c>
      <c r="S53" s="14" t="str">
        <f>IF(OR(A53="",COUNTIF(Components!$A$8:$A$107,A53)&lt;&gt;1),"",IF(VLOOKUP(A53,Components!$A$8:$S$107,17,FALSE)="","",VLOOKUP(A53,Components!$A$8:$S$107,17,FALSE)))</f>
        <v/>
      </c>
      <c r="T53" s="15" t="str">
        <f>IF(OR(A53="",COUNTIF(Components!$A$8:$A$107,A53)&lt;&gt;1),"",IF(VLOOKUP(A53,Components!$A$8:$S$107,18,FALSE)="","",VLOOKUP(A53,Components!$A$8:$S$107,18,FALSE)))</f>
        <v/>
      </c>
      <c r="U53" s="15" t="str">
        <f t="shared" si="8"/>
        <v/>
      </c>
    </row>
    <row r="54" spans="1:21" ht="48" customHeight="1">
      <c r="A54" s="4"/>
      <c r="B54" s="11"/>
      <c r="C54" s="6" t="str">
        <f>IF(A54="","",IF(COUNTIF(Components!$A$8:$A$107,A54)&lt;&gt;1,"Pending",VLOOKUP(A54,Components!$A$8:$F$107,5,FALSE)))</f>
        <v/>
      </c>
      <c r="D54" s="5"/>
      <c r="E54" s="6" t="str">
        <f t="shared" si="5"/>
        <v/>
      </c>
      <c r="F54" s="6" t="str">
        <f t="shared" si="6"/>
        <v/>
      </c>
      <c r="G54" s="1" t="str">
        <f>IF(A54="",IF(OR(NOT(ISBLANK(B54)),NOT(ISBLANK(D54))),"Needs component",""),IF(COUNTIF(Components!$A$8:$A$107,A54)&lt;&gt;1,"Invalid component",IF(ISBLANK(B54),"Needs quantity",IF(NOT(ISNUMBER(B54)),"Invalid quantity",IF(OR(B54&lt;0,B54&lt;&gt;INT(B54)),"Invalid quantity",IF(NOT(ISNUMBER(E54)),"Needs heat input",IF(NOT(ISBLANK(D54)),"Override used","Catalog basis")))))))</f>
        <v/>
      </c>
      <c r="H54" s="1"/>
      <c r="I54" s="12" t="str">
        <f>IF(A54="","",IF(COUNTIF(Components!$A$8:$A$107,A54)&lt;&gt;1,"Select a unique catalog component",VLOOKUP(A54,Components!$A$8:$F$107,6,FALSE)))</f>
        <v/>
      </c>
      <c r="J54" s="1" t="str">
        <f>IF(OR(A54="",COUNTIF(Components!$A$8:$A$107,A54)&lt;&gt;1),"",IF(VLOOKUP(A54,Components!$A$8:$S$107,9,FALSE)="","",VLOOKUP(A54,Components!$A$8:$S$107,9,FALSE)))</f>
        <v/>
      </c>
      <c r="K54" s="14" t="str">
        <f>IF(OR(A54="",COUNTIF(Components!$A$8:$A$107,A54)&lt;&gt;1),"",IF(VLOOKUP(A54,Components!$A$8:$S$107,10,FALSE)="","",VLOOKUP(A54,Components!$A$8:$S$107,10,FALSE)))</f>
        <v/>
      </c>
      <c r="L54" s="14" t="str">
        <f>IF(OR(A54="",COUNTIF(Components!$A$8:$A$107,A54)&lt;&gt;1),"",IF(VLOOKUP(A54,Components!$A$8:$S$107,11,FALSE)="","",VLOOKUP(A54,Components!$A$8:$S$107,11,FALSE)))</f>
        <v/>
      </c>
      <c r="M54" s="14" t="str">
        <f>IF(OR(A54="",COUNTIF(Components!$A$8:$A$107,A54)&lt;&gt;1),"",IF(VLOOKUP(A54,Components!$A$8:$S$107,12,FALSE)="","",VLOOKUP(A54,Components!$A$8:$S$107,12,FALSE)))</f>
        <v/>
      </c>
      <c r="N54" s="15" t="str">
        <f>IF(OR(A54="",COUNTIF(Components!$A$8:$A$107,A54)&lt;&gt;1),"",IF(VLOOKUP(A54,Components!$A$8:$S$107,13,FALSE)="","",VLOOKUP(A54,Components!$A$8:$S$107,13,FALSE)))</f>
        <v/>
      </c>
      <c r="O54" s="15" t="str">
        <f t="shared" si="7"/>
        <v/>
      </c>
      <c r="P54" s="1" t="str">
        <f>IF(OR(A54="",COUNTIF(Components!$A$8:$A$107,A54)&lt;&gt;1),"",IF(VLOOKUP(A54,Components!$A$8:$S$107,14,FALSE)="","",VLOOKUP(A54,Components!$A$8:$S$107,14,FALSE)))</f>
        <v/>
      </c>
      <c r="Q54" s="14" t="str">
        <f>IF(OR(A54="",COUNTIF(Components!$A$8:$A$107,A54)&lt;&gt;1),"",IF(VLOOKUP(A54,Components!$A$8:$S$107,15,FALSE)="","",VLOOKUP(A54,Components!$A$8:$S$107,15,FALSE)))</f>
        <v/>
      </c>
      <c r="R54" s="14" t="str">
        <f>IF(OR(A54="",COUNTIF(Components!$A$8:$A$107,A54)&lt;&gt;1),"",IF(VLOOKUP(A54,Components!$A$8:$S$107,16,FALSE)="","",VLOOKUP(A54,Components!$A$8:$S$107,16,FALSE)))</f>
        <v/>
      </c>
      <c r="S54" s="14" t="str">
        <f>IF(OR(A54="",COUNTIF(Components!$A$8:$A$107,A54)&lt;&gt;1),"",IF(VLOOKUP(A54,Components!$A$8:$S$107,17,FALSE)="","",VLOOKUP(A54,Components!$A$8:$S$107,17,FALSE)))</f>
        <v/>
      </c>
      <c r="T54" s="15" t="str">
        <f>IF(OR(A54="",COUNTIF(Components!$A$8:$A$107,A54)&lt;&gt;1),"",IF(VLOOKUP(A54,Components!$A$8:$S$107,18,FALSE)="","",VLOOKUP(A54,Components!$A$8:$S$107,18,FALSE)))</f>
        <v/>
      </c>
      <c r="U54" s="15" t="str">
        <f t="shared" si="8"/>
        <v/>
      </c>
    </row>
    <row r="55" spans="1:21" ht="48" customHeight="1">
      <c r="A55" s="4"/>
      <c r="B55" s="11"/>
      <c r="C55" s="6" t="str">
        <f>IF(A55="","",IF(COUNTIF(Components!$A$8:$A$107,A55)&lt;&gt;1,"Pending",VLOOKUP(A55,Components!$A$8:$F$107,5,FALSE)))</f>
        <v/>
      </c>
      <c r="D55" s="5"/>
      <c r="E55" s="6" t="str">
        <f t="shared" si="5"/>
        <v/>
      </c>
      <c r="F55" s="6" t="str">
        <f t="shared" si="6"/>
        <v/>
      </c>
      <c r="G55" s="1" t="str">
        <f>IF(A55="",IF(OR(NOT(ISBLANK(B55)),NOT(ISBLANK(D55))),"Needs component",""),IF(COUNTIF(Components!$A$8:$A$107,A55)&lt;&gt;1,"Invalid component",IF(ISBLANK(B55),"Needs quantity",IF(NOT(ISNUMBER(B55)),"Invalid quantity",IF(OR(B55&lt;0,B55&lt;&gt;INT(B55)),"Invalid quantity",IF(NOT(ISNUMBER(E55)),"Needs heat input",IF(NOT(ISBLANK(D55)),"Override used","Catalog basis")))))))</f>
        <v/>
      </c>
      <c r="H55" s="1"/>
      <c r="I55" s="12" t="str">
        <f>IF(A55="","",IF(COUNTIF(Components!$A$8:$A$107,A55)&lt;&gt;1,"Select a unique catalog component",VLOOKUP(A55,Components!$A$8:$F$107,6,FALSE)))</f>
        <v/>
      </c>
      <c r="J55" s="1" t="str">
        <f>IF(OR(A55="",COUNTIF(Components!$A$8:$A$107,A55)&lt;&gt;1),"",IF(VLOOKUP(A55,Components!$A$8:$S$107,9,FALSE)="","",VLOOKUP(A55,Components!$A$8:$S$107,9,FALSE)))</f>
        <v/>
      </c>
      <c r="K55" s="14" t="str">
        <f>IF(OR(A55="",COUNTIF(Components!$A$8:$A$107,A55)&lt;&gt;1),"",IF(VLOOKUP(A55,Components!$A$8:$S$107,10,FALSE)="","",VLOOKUP(A55,Components!$A$8:$S$107,10,FALSE)))</f>
        <v/>
      </c>
      <c r="L55" s="14" t="str">
        <f>IF(OR(A55="",COUNTIF(Components!$A$8:$A$107,A55)&lt;&gt;1),"",IF(VLOOKUP(A55,Components!$A$8:$S$107,11,FALSE)="","",VLOOKUP(A55,Components!$A$8:$S$107,11,FALSE)))</f>
        <v/>
      </c>
      <c r="M55" s="14" t="str">
        <f>IF(OR(A55="",COUNTIF(Components!$A$8:$A$107,A55)&lt;&gt;1),"",IF(VLOOKUP(A55,Components!$A$8:$S$107,12,FALSE)="","",VLOOKUP(A55,Components!$A$8:$S$107,12,FALSE)))</f>
        <v/>
      </c>
      <c r="N55" s="15" t="str">
        <f>IF(OR(A55="",COUNTIF(Components!$A$8:$A$107,A55)&lt;&gt;1),"",IF(VLOOKUP(A55,Components!$A$8:$S$107,13,FALSE)="","",VLOOKUP(A55,Components!$A$8:$S$107,13,FALSE)))</f>
        <v/>
      </c>
      <c r="O55" s="15" t="str">
        <f t="shared" si="7"/>
        <v/>
      </c>
      <c r="P55" s="1" t="str">
        <f>IF(OR(A55="",COUNTIF(Components!$A$8:$A$107,A55)&lt;&gt;1),"",IF(VLOOKUP(A55,Components!$A$8:$S$107,14,FALSE)="","",VLOOKUP(A55,Components!$A$8:$S$107,14,FALSE)))</f>
        <v/>
      </c>
      <c r="Q55" s="14" t="str">
        <f>IF(OR(A55="",COUNTIF(Components!$A$8:$A$107,A55)&lt;&gt;1),"",IF(VLOOKUP(A55,Components!$A$8:$S$107,15,FALSE)="","",VLOOKUP(A55,Components!$A$8:$S$107,15,FALSE)))</f>
        <v/>
      </c>
      <c r="R55" s="14" t="str">
        <f>IF(OR(A55="",COUNTIF(Components!$A$8:$A$107,A55)&lt;&gt;1),"",IF(VLOOKUP(A55,Components!$A$8:$S$107,16,FALSE)="","",VLOOKUP(A55,Components!$A$8:$S$107,16,FALSE)))</f>
        <v/>
      </c>
      <c r="S55" s="14" t="str">
        <f>IF(OR(A55="",COUNTIF(Components!$A$8:$A$107,A55)&lt;&gt;1),"",IF(VLOOKUP(A55,Components!$A$8:$S$107,17,FALSE)="","",VLOOKUP(A55,Components!$A$8:$S$107,17,FALSE)))</f>
        <v/>
      </c>
      <c r="T55" s="15" t="str">
        <f>IF(OR(A55="",COUNTIF(Components!$A$8:$A$107,A55)&lt;&gt;1),"",IF(VLOOKUP(A55,Components!$A$8:$S$107,18,FALSE)="","",VLOOKUP(A55,Components!$A$8:$S$107,18,FALSE)))</f>
        <v/>
      </c>
      <c r="U55" s="15" t="str">
        <f t="shared" si="8"/>
        <v/>
      </c>
    </row>
    <row r="56" spans="1:21" ht="48" customHeight="1">
      <c r="A56" s="4"/>
      <c r="B56" s="11"/>
      <c r="C56" s="6" t="str">
        <f>IF(A56="","",IF(COUNTIF(Components!$A$8:$A$107,A56)&lt;&gt;1,"Pending",VLOOKUP(A56,Components!$A$8:$F$107,5,FALSE)))</f>
        <v/>
      </c>
      <c r="D56" s="5"/>
      <c r="E56" s="6" t="str">
        <f t="shared" si="5"/>
        <v/>
      </c>
      <c r="F56" s="6" t="str">
        <f t="shared" si="6"/>
        <v/>
      </c>
      <c r="G56" s="1" t="str">
        <f>IF(A56="",IF(OR(NOT(ISBLANK(B56)),NOT(ISBLANK(D56))),"Needs component",""),IF(COUNTIF(Components!$A$8:$A$107,A56)&lt;&gt;1,"Invalid component",IF(ISBLANK(B56),"Needs quantity",IF(NOT(ISNUMBER(B56)),"Invalid quantity",IF(OR(B56&lt;0,B56&lt;&gt;INT(B56)),"Invalid quantity",IF(NOT(ISNUMBER(E56)),"Needs heat input",IF(NOT(ISBLANK(D56)),"Override used","Catalog basis")))))))</f>
        <v/>
      </c>
      <c r="H56" s="1"/>
      <c r="I56" s="12" t="str">
        <f>IF(A56="","",IF(COUNTIF(Components!$A$8:$A$107,A56)&lt;&gt;1,"Select a unique catalog component",VLOOKUP(A56,Components!$A$8:$F$107,6,FALSE)))</f>
        <v/>
      </c>
      <c r="J56" s="1" t="str">
        <f>IF(OR(A56="",COUNTIF(Components!$A$8:$A$107,A56)&lt;&gt;1),"",IF(VLOOKUP(A56,Components!$A$8:$S$107,9,FALSE)="","",VLOOKUP(A56,Components!$A$8:$S$107,9,FALSE)))</f>
        <v/>
      </c>
      <c r="K56" s="14" t="str">
        <f>IF(OR(A56="",COUNTIF(Components!$A$8:$A$107,A56)&lt;&gt;1),"",IF(VLOOKUP(A56,Components!$A$8:$S$107,10,FALSE)="","",VLOOKUP(A56,Components!$A$8:$S$107,10,FALSE)))</f>
        <v/>
      </c>
      <c r="L56" s="14" t="str">
        <f>IF(OR(A56="",COUNTIF(Components!$A$8:$A$107,A56)&lt;&gt;1),"",IF(VLOOKUP(A56,Components!$A$8:$S$107,11,FALSE)="","",VLOOKUP(A56,Components!$A$8:$S$107,11,FALSE)))</f>
        <v/>
      </c>
      <c r="M56" s="14" t="str">
        <f>IF(OR(A56="",COUNTIF(Components!$A$8:$A$107,A56)&lt;&gt;1),"",IF(VLOOKUP(A56,Components!$A$8:$S$107,12,FALSE)="","",VLOOKUP(A56,Components!$A$8:$S$107,12,FALSE)))</f>
        <v/>
      </c>
      <c r="N56" s="15" t="str">
        <f>IF(OR(A56="",COUNTIF(Components!$A$8:$A$107,A56)&lt;&gt;1),"",IF(VLOOKUP(A56,Components!$A$8:$S$107,13,FALSE)="","",VLOOKUP(A56,Components!$A$8:$S$107,13,FALSE)))</f>
        <v/>
      </c>
      <c r="O56" s="15" t="str">
        <f t="shared" si="7"/>
        <v/>
      </c>
      <c r="P56" s="1" t="str">
        <f>IF(OR(A56="",COUNTIF(Components!$A$8:$A$107,A56)&lt;&gt;1),"",IF(VLOOKUP(A56,Components!$A$8:$S$107,14,FALSE)="","",VLOOKUP(A56,Components!$A$8:$S$107,14,FALSE)))</f>
        <v/>
      </c>
      <c r="Q56" s="14" t="str">
        <f>IF(OR(A56="",COUNTIF(Components!$A$8:$A$107,A56)&lt;&gt;1),"",IF(VLOOKUP(A56,Components!$A$8:$S$107,15,FALSE)="","",VLOOKUP(A56,Components!$A$8:$S$107,15,FALSE)))</f>
        <v/>
      </c>
      <c r="R56" s="14" t="str">
        <f>IF(OR(A56="",COUNTIF(Components!$A$8:$A$107,A56)&lt;&gt;1),"",IF(VLOOKUP(A56,Components!$A$8:$S$107,16,FALSE)="","",VLOOKUP(A56,Components!$A$8:$S$107,16,FALSE)))</f>
        <v/>
      </c>
      <c r="S56" s="14" t="str">
        <f>IF(OR(A56="",COUNTIF(Components!$A$8:$A$107,A56)&lt;&gt;1),"",IF(VLOOKUP(A56,Components!$A$8:$S$107,17,FALSE)="","",VLOOKUP(A56,Components!$A$8:$S$107,17,FALSE)))</f>
        <v/>
      </c>
      <c r="T56" s="15" t="str">
        <f>IF(OR(A56="",COUNTIF(Components!$A$8:$A$107,A56)&lt;&gt;1),"",IF(VLOOKUP(A56,Components!$A$8:$S$107,18,FALSE)="","",VLOOKUP(A56,Components!$A$8:$S$107,18,FALSE)))</f>
        <v/>
      </c>
      <c r="U56" s="15" t="str">
        <f t="shared" si="8"/>
        <v/>
      </c>
    </row>
    <row r="57" spans="1:21" ht="48" customHeight="1">
      <c r="A57" s="4"/>
      <c r="B57" s="11"/>
      <c r="C57" s="6" t="str">
        <f>IF(A57="","",IF(COUNTIF(Components!$A$8:$A$107,A57)&lt;&gt;1,"Pending",VLOOKUP(A57,Components!$A$8:$F$107,5,FALSE)))</f>
        <v/>
      </c>
      <c r="D57" s="5"/>
      <c r="E57" s="6" t="str">
        <f t="shared" si="5"/>
        <v/>
      </c>
      <c r="F57" s="6" t="str">
        <f t="shared" si="6"/>
        <v/>
      </c>
      <c r="G57" s="1" t="str">
        <f>IF(A57="",IF(OR(NOT(ISBLANK(B57)),NOT(ISBLANK(D57))),"Needs component",""),IF(COUNTIF(Components!$A$8:$A$107,A57)&lt;&gt;1,"Invalid component",IF(ISBLANK(B57),"Needs quantity",IF(NOT(ISNUMBER(B57)),"Invalid quantity",IF(OR(B57&lt;0,B57&lt;&gt;INT(B57)),"Invalid quantity",IF(NOT(ISNUMBER(E57)),"Needs heat input",IF(NOT(ISBLANK(D57)),"Override used","Catalog basis")))))))</f>
        <v/>
      </c>
      <c r="H57" s="1"/>
      <c r="I57" s="12" t="str">
        <f>IF(A57="","",IF(COUNTIF(Components!$A$8:$A$107,A57)&lt;&gt;1,"Select a unique catalog component",VLOOKUP(A57,Components!$A$8:$F$107,6,FALSE)))</f>
        <v/>
      </c>
      <c r="J57" s="1" t="str">
        <f>IF(OR(A57="",COUNTIF(Components!$A$8:$A$107,A57)&lt;&gt;1),"",IF(VLOOKUP(A57,Components!$A$8:$S$107,9,FALSE)="","",VLOOKUP(A57,Components!$A$8:$S$107,9,FALSE)))</f>
        <v/>
      </c>
      <c r="K57" s="14" t="str">
        <f>IF(OR(A57="",COUNTIF(Components!$A$8:$A$107,A57)&lt;&gt;1),"",IF(VLOOKUP(A57,Components!$A$8:$S$107,10,FALSE)="","",VLOOKUP(A57,Components!$A$8:$S$107,10,FALSE)))</f>
        <v/>
      </c>
      <c r="L57" s="14" t="str">
        <f>IF(OR(A57="",COUNTIF(Components!$A$8:$A$107,A57)&lt;&gt;1),"",IF(VLOOKUP(A57,Components!$A$8:$S$107,11,FALSE)="","",VLOOKUP(A57,Components!$A$8:$S$107,11,FALSE)))</f>
        <v/>
      </c>
      <c r="M57" s="14" t="str">
        <f>IF(OR(A57="",COUNTIF(Components!$A$8:$A$107,A57)&lt;&gt;1),"",IF(VLOOKUP(A57,Components!$A$8:$S$107,12,FALSE)="","",VLOOKUP(A57,Components!$A$8:$S$107,12,FALSE)))</f>
        <v/>
      </c>
      <c r="N57" s="15" t="str">
        <f>IF(OR(A57="",COUNTIF(Components!$A$8:$A$107,A57)&lt;&gt;1),"",IF(VLOOKUP(A57,Components!$A$8:$S$107,13,FALSE)="","",VLOOKUP(A57,Components!$A$8:$S$107,13,FALSE)))</f>
        <v/>
      </c>
      <c r="O57" s="15" t="str">
        <f t="shared" si="7"/>
        <v/>
      </c>
      <c r="P57" s="1" t="str">
        <f>IF(OR(A57="",COUNTIF(Components!$A$8:$A$107,A57)&lt;&gt;1),"",IF(VLOOKUP(A57,Components!$A$8:$S$107,14,FALSE)="","",VLOOKUP(A57,Components!$A$8:$S$107,14,FALSE)))</f>
        <v/>
      </c>
      <c r="Q57" s="14" t="str">
        <f>IF(OR(A57="",COUNTIF(Components!$A$8:$A$107,A57)&lt;&gt;1),"",IF(VLOOKUP(A57,Components!$A$8:$S$107,15,FALSE)="","",VLOOKUP(A57,Components!$A$8:$S$107,15,FALSE)))</f>
        <v/>
      </c>
      <c r="R57" s="14" t="str">
        <f>IF(OR(A57="",COUNTIF(Components!$A$8:$A$107,A57)&lt;&gt;1),"",IF(VLOOKUP(A57,Components!$A$8:$S$107,16,FALSE)="","",VLOOKUP(A57,Components!$A$8:$S$107,16,FALSE)))</f>
        <v/>
      </c>
      <c r="S57" s="14" t="str">
        <f>IF(OR(A57="",COUNTIF(Components!$A$8:$A$107,A57)&lt;&gt;1),"",IF(VLOOKUP(A57,Components!$A$8:$S$107,17,FALSE)="","",VLOOKUP(A57,Components!$A$8:$S$107,17,FALSE)))</f>
        <v/>
      </c>
      <c r="T57" s="15" t="str">
        <f>IF(OR(A57="",COUNTIF(Components!$A$8:$A$107,A57)&lt;&gt;1),"",IF(VLOOKUP(A57,Components!$A$8:$S$107,18,FALSE)="","",VLOOKUP(A57,Components!$A$8:$S$107,18,FALSE)))</f>
        <v/>
      </c>
      <c r="U57" s="15" t="str">
        <f t="shared" si="8"/>
        <v/>
      </c>
    </row>
    <row r="58" spans="1:21" ht="48" customHeight="1">
      <c r="A58" s="4"/>
      <c r="B58" s="11"/>
      <c r="C58" s="6" t="str">
        <f>IF(A58="","",IF(COUNTIF(Components!$A$8:$A$107,A58)&lt;&gt;1,"Pending",VLOOKUP(A58,Components!$A$8:$F$107,5,FALSE)))</f>
        <v/>
      </c>
      <c r="D58" s="5"/>
      <c r="E58" s="6" t="str">
        <f t="shared" si="5"/>
        <v/>
      </c>
      <c r="F58" s="6" t="str">
        <f t="shared" si="6"/>
        <v/>
      </c>
      <c r="G58" s="1" t="str">
        <f>IF(A58="",IF(OR(NOT(ISBLANK(B58)),NOT(ISBLANK(D58))),"Needs component",""),IF(COUNTIF(Components!$A$8:$A$107,A58)&lt;&gt;1,"Invalid component",IF(ISBLANK(B58),"Needs quantity",IF(NOT(ISNUMBER(B58)),"Invalid quantity",IF(OR(B58&lt;0,B58&lt;&gt;INT(B58)),"Invalid quantity",IF(NOT(ISNUMBER(E58)),"Needs heat input",IF(NOT(ISBLANK(D58)),"Override used","Catalog basis")))))))</f>
        <v/>
      </c>
      <c r="H58" s="1"/>
      <c r="I58" s="12" t="str">
        <f>IF(A58="","",IF(COUNTIF(Components!$A$8:$A$107,A58)&lt;&gt;1,"Select a unique catalog component",VLOOKUP(A58,Components!$A$8:$F$107,6,FALSE)))</f>
        <v/>
      </c>
      <c r="J58" s="1" t="str">
        <f>IF(OR(A58="",COUNTIF(Components!$A$8:$A$107,A58)&lt;&gt;1),"",IF(VLOOKUP(A58,Components!$A$8:$S$107,9,FALSE)="","",VLOOKUP(A58,Components!$A$8:$S$107,9,FALSE)))</f>
        <v/>
      </c>
      <c r="K58" s="14" t="str">
        <f>IF(OR(A58="",COUNTIF(Components!$A$8:$A$107,A58)&lt;&gt;1),"",IF(VLOOKUP(A58,Components!$A$8:$S$107,10,FALSE)="","",VLOOKUP(A58,Components!$A$8:$S$107,10,FALSE)))</f>
        <v/>
      </c>
      <c r="L58" s="14" t="str">
        <f>IF(OR(A58="",COUNTIF(Components!$A$8:$A$107,A58)&lt;&gt;1),"",IF(VLOOKUP(A58,Components!$A$8:$S$107,11,FALSE)="","",VLOOKUP(A58,Components!$A$8:$S$107,11,FALSE)))</f>
        <v/>
      </c>
      <c r="M58" s="14" t="str">
        <f>IF(OR(A58="",COUNTIF(Components!$A$8:$A$107,A58)&lt;&gt;1),"",IF(VLOOKUP(A58,Components!$A$8:$S$107,12,FALSE)="","",VLOOKUP(A58,Components!$A$8:$S$107,12,FALSE)))</f>
        <v/>
      </c>
      <c r="N58" s="15" t="str">
        <f>IF(OR(A58="",COUNTIF(Components!$A$8:$A$107,A58)&lt;&gt;1),"",IF(VLOOKUP(A58,Components!$A$8:$S$107,13,FALSE)="","",VLOOKUP(A58,Components!$A$8:$S$107,13,FALSE)))</f>
        <v/>
      </c>
      <c r="O58" s="15" t="str">
        <f t="shared" si="7"/>
        <v/>
      </c>
      <c r="P58" s="1" t="str">
        <f>IF(OR(A58="",COUNTIF(Components!$A$8:$A$107,A58)&lt;&gt;1),"",IF(VLOOKUP(A58,Components!$A$8:$S$107,14,FALSE)="","",VLOOKUP(A58,Components!$A$8:$S$107,14,FALSE)))</f>
        <v/>
      </c>
      <c r="Q58" s="14" t="str">
        <f>IF(OR(A58="",COUNTIF(Components!$A$8:$A$107,A58)&lt;&gt;1),"",IF(VLOOKUP(A58,Components!$A$8:$S$107,15,FALSE)="","",VLOOKUP(A58,Components!$A$8:$S$107,15,FALSE)))</f>
        <v/>
      </c>
      <c r="R58" s="14" t="str">
        <f>IF(OR(A58="",COUNTIF(Components!$A$8:$A$107,A58)&lt;&gt;1),"",IF(VLOOKUP(A58,Components!$A$8:$S$107,16,FALSE)="","",VLOOKUP(A58,Components!$A$8:$S$107,16,FALSE)))</f>
        <v/>
      </c>
      <c r="S58" s="14" t="str">
        <f>IF(OR(A58="",COUNTIF(Components!$A$8:$A$107,A58)&lt;&gt;1),"",IF(VLOOKUP(A58,Components!$A$8:$S$107,17,FALSE)="","",VLOOKUP(A58,Components!$A$8:$S$107,17,FALSE)))</f>
        <v/>
      </c>
      <c r="T58" s="15" t="str">
        <f>IF(OR(A58="",COUNTIF(Components!$A$8:$A$107,A58)&lt;&gt;1),"",IF(VLOOKUP(A58,Components!$A$8:$S$107,18,FALSE)="","",VLOOKUP(A58,Components!$A$8:$S$107,18,FALSE)))</f>
        <v/>
      </c>
      <c r="U58" s="15" t="str">
        <f t="shared" si="8"/>
        <v/>
      </c>
    </row>
    <row r="59" spans="1:21" ht="48" customHeight="1">
      <c r="A59" s="4"/>
      <c r="B59" s="11"/>
      <c r="C59" s="6" t="str">
        <f>IF(A59="","",IF(COUNTIF(Components!$A$8:$A$107,A59)&lt;&gt;1,"Pending",VLOOKUP(A59,Components!$A$8:$F$107,5,FALSE)))</f>
        <v/>
      </c>
      <c r="D59" s="5"/>
      <c r="E59" s="6" t="str">
        <f t="shared" si="5"/>
        <v/>
      </c>
      <c r="F59" s="6" t="str">
        <f t="shared" si="6"/>
        <v/>
      </c>
      <c r="G59" s="1" t="str">
        <f>IF(A59="",IF(OR(NOT(ISBLANK(B59)),NOT(ISBLANK(D59))),"Needs component",""),IF(COUNTIF(Components!$A$8:$A$107,A59)&lt;&gt;1,"Invalid component",IF(ISBLANK(B59),"Needs quantity",IF(NOT(ISNUMBER(B59)),"Invalid quantity",IF(OR(B59&lt;0,B59&lt;&gt;INT(B59)),"Invalid quantity",IF(NOT(ISNUMBER(E59)),"Needs heat input",IF(NOT(ISBLANK(D59)),"Override used","Catalog basis")))))))</f>
        <v/>
      </c>
      <c r="H59" s="1"/>
      <c r="I59" s="12" t="str">
        <f>IF(A59="","",IF(COUNTIF(Components!$A$8:$A$107,A59)&lt;&gt;1,"Select a unique catalog component",VLOOKUP(A59,Components!$A$8:$F$107,6,FALSE)))</f>
        <v/>
      </c>
      <c r="J59" s="1" t="str">
        <f>IF(OR(A59="",COUNTIF(Components!$A$8:$A$107,A59)&lt;&gt;1),"",IF(VLOOKUP(A59,Components!$A$8:$S$107,9,FALSE)="","",VLOOKUP(A59,Components!$A$8:$S$107,9,FALSE)))</f>
        <v/>
      </c>
      <c r="K59" s="14" t="str">
        <f>IF(OR(A59="",COUNTIF(Components!$A$8:$A$107,A59)&lt;&gt;1),"",IF(VLOOKUP(A59,Components!$A$8:$S$107,10,FALSE)="","",VLOOKUP(A59,Components!$A$8:$S$107,10,FALSE)))</f>
        <v/>
      </c>
      <c r="L59" s="14" t="str">
        <f>IF(OR(A59="",COUNTIF(Components!$A$8:$A$107,A59)&lt;&gt;1),"",IF(VLOOKUP(A59,Components!$A$8:$S$107,11,FALSE)="","",VLOOKUP(A59,Components!$A$8:$S$107,11,FALSE)))</f>
        <v/>
      </c>
      <c r="M59" s="14" t="str">
        <f>IF(OR(A59="",COUNTIF(Components!$A$8:$A$107,A59)&lt;&gt;1),"",IF(VLOOKUP(A59,Components!$A$8:$S$107,12,FALSE)="","",VLOOKUP(A59,Components!$A$8:$S$107,12,FALSE)))</f>
        <v/>
      </c>
      <c r="N59" s="15" t="str">
        <f>IF(OR(A59="",COUNTIF(Components!$A$8:$A$107,A59)&lt;&gt;1),"",IF(VLOOKUP(A59,Components!$A$8:$S$107,13,FALSE)="","",VLOOKUP(A59,Components!$A$8:$S$107,13,FALSE)))</f>
        <v/>
      </c>
      <c r="O59" s="15" t="str">
        <f t="shared" si="7"/>
        <v/>
      </c>
      <c r="P59" s="1" t="str">
        <f>IF(OR(A59="",COUNTIF(Components!$A$8:$A$107,A59)&lt;&gt;1),"",IF(VLOOKUP(A59,Components!$A$8:$S$107,14,FALSE)="","",VLOOKUP(A59,Components!$A$8:$S$107,14,FALSE)))</f>
        <v/>
      </c>
      <c r="Q59" s="14" t="str">
        <f>IF(OR(A59="",COUNTIF(Components!$A$8:$A$107,A59)&lt;&gt;1),"",IF(VLOOKUP(A59,Components!$A$8:$S$107,15,FALSE)="","",VLOOKUP(A59,Components!$A$8:$S$107,15,FALSE)))</f>
        <v/>
      </c>
      <c r="R59" s="14" t="str">
        <f>IF(OR(A59="",COUNTIF(Components!$A$8:$A$107,A59)&lt;&gt;1),"",IF(VLOOKUP(A59,Components!$A$8:$S$107,16,FALSE)="","",VLOOKUP(A59,Components!$A$8:$S$107,16,FALSE)))</f>
        <v/>
      </c>
      <c r="S59" s="14" t="str">
        <f>IF(OR(A59="",COUNTIF(Components!$A$8:$A$107,A59)&lt;&gt;1),"",IF(VLOOKUP(A59,Components!$A$8:$S$107,17,FALSE)="","",VLOOKUP(A59,Components!$A$8:$S$107,17,FALSE)))</f>
        <v/>
      </c>
      <c r="T59" s="15" t="str">
        <f>IF(OR(A59="",COUNTIF(Components!$A$8:$A$107,A59)&lt;&gt;1),"",IF(VLOOKUP(A59,Components!$A$8:$S$107,18,FALSE)="","",VLOOKUP(A59,Components!$A$8:$S$107,18,FALSE)))</f>
        <v/>
      </c>
      <c r="U59" s="15" t="str">
        <f t="shared" si="8"/>
        <v/>
      </c>
    </row>
    <row r="60" spans="1:21" ht="48" customHeight="1">
      <c r="A60" s="4"/>
      <c r="B60" s="11"/>
      <c r="C60" s="6" t="str">
        <f>IF(A60="","",IF(COUNTIF(Components!$A$8:$A$107,A60)&lt;&gt;1,"Pending",VLOOKUP(A60,Components!$A$8:$F$107,5,FALSE)))</f>
        <v/>
      </c>
      <c r="D60" s="5"/>
      <c r="E60" s="6" t="str">
        <f t="shared" si="5"/>
        <v/>
      </c>
      <c r="F60" s="6" t="str">
        <f t="shared" si="6"/>
        <v/>
      </c>
      <c r="G60" s="1" t="str">
        <f>IF(A60="",IF(OR(NOT(ISBLANK(B60)),NOT(ISBLANK(D60))),"Needs component",""),IF(COUNTIF(Components!$A$8:$A$107,A60)&lt;&gt;1,"Invalid component",IF(ISBLANK(B60),"Needs quantity",IF(NOT(ISNUMBER(B60)),"Invalid quantity",IF(OR(B60&lt;0,B60&lt;&gt;INT(B60)),"Invalid quantity",IF(NOT(ISNUMBER(E60)),"Needs heat input",IF(NOT(ISBLANK(D60)),"Override used","Catalog basis")))))))</f>
        <v/>
      </c>
      <c r="H60" s="1"/>
      <c r="I60" s="12" t="str">
        <f>IF(A60="","",IF(COUNTIF(Components!$A$8:$A$107,A60)&lt;&gt;1,"Select a unique catalog component",VLOOKUP(A60,Components!$A$8:$F$107,6,FALSE)))</f>
        <v/>
      </c>
      <c r="J60" s="1" t="str">
        <f>IF(OR(A60="",COUNTIF(Components!$A$8:$A$107,A60)&lt;&gt;1),"",IF(VLOOKUP(A60,Components!$A$8:$S$107,9,FALSE)="","",VLOOKUP(A60,Components!$A$8:$S$107,9,FALSE)))</f>
        <v/>
      </c>
      <c r="K60" s="14" t="str">
        <f>IF(OR(A60="",COUNTIF(Components!$A$8:$A$107,A60)&lt;&gt;1),"",IF(VLOOKUP(A60,Components!$A$8:$S$107,10,FALSE)="","",VLOOKUP(A60,Components!$A$8:$S$107,10,FALSE)))</f>
        <v/>
      </c>
      <c r="L60" s="14" t="str">
        <f>IF(OR(A60="",COUNTIF(Components!$A$8:$A$107,A60)&lt;&gt;1),"",IF(VLOOKUP(A60,Components!$A$8:$S$107,11,FALSE)="","",VLOOKUP(A60,Components!$A$8:$S$107,11,FALSE)))</f>
        <v/>
      </c>
      <c r="M60" s="14" t="str">
        <f>IF(OR(A60="",COUNTIF(Components!$A$8:$A$107,A60)&lt;&gt;1),"",IF(VLOOKUP(A60,Components!$A$8:$S$107,12,FALSE)="","",VLOOKUP(A60,Components!$A$8:$S$107,12,FALSE)))</f>
        <v/>
      </c>
      <c r="N60" s="15" t="str">
        <f>IF(OR(A60="",COUNTIF(Components!$A$8:$A$107,A60)&lt;&gt;1),"",IF(VLOOKUP(A60,Components!$A$8:$S$107,13,FALSE)="","",VLOOKUP(A60,Components!$A$8:$S$107,13,FALSE)))</f>
        <v/>
      </c>
      <c r="O60" s="15" t="str">
        <f t="shared" si="7"/>
        <v/>
      </c>
      <c r="P60" s="1" t="str">
        <f>IF(OR(A60="",COUNTIF(Components!$A$8:$A$107,A60)&lt;&gt;1),"",IF(VLOOKUP(A60,Components!$A$8:$S$107,14,FALSE)="","",VLOOKUP(A60,Components!$A$8:$S$107,14,FALSE)))</f>
        <v/>
      </c>
      <c r="Q60" s="14" t="str">
        <f>IF(OR(A60="",COUNTIF(Components!$A$8:$A$107,A60)&lt;&gt;1),"",IF(VLOOKUP(A60,Components!$A$8:$S$107,15,FALSE)="","",VLOOKUP(A60,Components!$A$8:$S$107,15,FALSE)))</f>
        <v/>
      </c>
      <c r="R60" s="14" t="str">
        <f>IF(OR(A60="",COUNTIF(Components!$A$8:$A$107,A60)&lt;&gt;1),"",IF(VLOOKUP(A60,Components!$A$8:$S$107,16,FALSE)="","",VLOOKUP(A60,Components!$A$8:$S$107,16,FALSE)))</f>
        <v/>
      </c>
      <c r="S60" s="14" t="str">
        <f>IF(OR(A60="",COUNTIF(Components!$A$8:$A$107,A60)&lt;&gt;1),"",IF(VLOOKUP(A60,Components!$A$8:$S$107,17,FALSE)="","",VLOOKUP(A60,Components!$A$8:$S$107,17,FALSE)))</f>
        <v/>
      </c>
      <c r="T60" s="15" t="str">
        <f>IF(OR(A60="",COUNTIF(Components!$A$8:$A$107,A60)&lt;&gt;1),"",IF(VLOOKUP(A60,Components!$A$8:$S$107,18,FALSE)="","",VLOOKUP(A60,Components!$A$8:$S$107,18,FALSE)))</f>
        <v/>
      </c>
      <c r="U60" s="15" t="str">
        <f t="shared" si="8"/>
        <v/>
      </c>
    </row>
    <row r="61" spans="1:21" ht="48" customHeight="1">
      <c r="A61" s="4"/>
      <c r="B61" s="11"/>
      <c r="C61" s="6" t="str">
        <f>IF(A61="","",IF(COUNTIF(Components!$A$8:$A$107,A61)&lt;&gt;1,"Pending",VLOOKUP(A61,Components!$A$8:$F$107,5,FALSE)))</f>
        <v/>
      </c>
      <c r="D61" s="5"/>
      <c r="E61" s="6" t="str">
        <f t="shared" si="5"/>
        <v/>
      </c>
      <c r="F61" s="6" t="str">
        <f t="shared" si="6"/>
        <v/>
      </c>
      <c r="G61" s="1" t="str">
        <f>IF(A61="",IF(OR(NOT(ISBLANK(B61)),NOT(ISBLANK(D61))),"Needs component",""),IF(COUNTIF(Components!$A$8:$A$107,A61)&lt;&gt;1,"Invalid component",IF(ISBLANK(B61),"Needs quantity",IF(NOT(ISNUMBER(B61)),"Invalid quantity",IF(OR(B61&lt;0,B61&lt;&gt;INT(B61)),"Invalid quantity",IF(NOT(ISNUMBER(E61)),"Needs heat input",IF(NOT(ISBLANK(D61)),"Override used","Catalog basis")))))))</f>
        <v/>
      </c>
      <c r="H61" s="1"/>
      <c r="I61" s="12" t="str">
        <f>IF(A61="","",IF(COUNTIF(Components!$A$8:$A$107,A61)&lt;&gt;1,"Select a unique catalog component",VLOOKUP(A61,Components!$A$8:$F$107,6,FALSE)))</f>
        <v/>
      </c>
      <c r="J61" s="1" t="str">
        <f>IF(OR(A61="",COUNTIF(Components!$A$8:$A$107,A61)&lt;&gt;1),"",IF(VLOOKUP(A61,Components!$A$8:$S$107,9,FALSE)="","",VLOOKUP(A61,Components!$A$8:$S$107,9,FALSE)))</f>
        <v/>
      </c>
      <c r="K61" s="14" t="str">
        <f>IF(OR(A61="",COUNTIF(Components!$A$8:$A$107,A61)&lt;&gt;1),"",IF(VLOOKUP(A61,Components!$A$8:$S$107,10,FALSE)="","",VLOOKUP(A61,Components!$A$8:$S$107,10,FALSE)))</f>
        <v/>
      </c>
      <c r="L61" s="14" t="str">
        <f>IF(OR(A61="",COUNTIF(Components!$A$8:$A$107,A61)&lt;&gt;1),"",IF(VLOOKUP(A61,Components!$A$8:$S$107,11,FALSE)="","",VLOOKUP(A61,Components!$A$8:$S$107,11,FALSE)))</f>
        <v/>
      </c>
      <c r="M61" s="14" t="str">
        <f>IF(OR(A61="",COUNTIF(Components!$A$8:$A$107,A61)&lt;&gt;1),"",IF(VLOOKUP(A61,Components!$A$8:$S$107,12,FALSE)="","",VLOOKUP(A61,Components!$A$8:$S$107,12,FALSE)))</f>
        <v/>
      </c>
      <c r="N61" s="15" t="str">
        <f>IF(OR(A61="",COUNTIF(Components!$A$8:$A$107,A61)&lt;&gt;1),"",IF(VLOOKUP(A61,Components!$A$8:$S$107,13,FALSE)="","",VLOOKUP(A61,Components!$A$8:$S$107,13,FALSE)))</f>
        <v/>
      </c>
      <c r="O61" s="15" t="str">
        <f t="shared" si="7"/>
        <v/>
      </c>
      <c r="P61" s="1" t="str">
        <f>IF(OR(A61="",COUNTIF(Components!$A$8:$A$107,A61)&lt;&gt;1),"",IF(VLOOKUP(A61,Components!$A$8:$S$107,14,FALSE)="","",VLOOKUP(A61,Components!$A$8:$S$107,14,FALSE)))</f>
        <v/>
      </c>
      <c r="Q61" s="14" t="str">
        <f>IF(OR(A61="",COUNTIF(Components!$A$8:$A$107,A61)&lt;&gt;1),"",IF(VLOOKUP(A61,Components!$A$8:$S$107,15,FALSE)="","",VLOOKUP(A61,Components!$A$8:$S$107,15,FALSE)))</f>
        <v/>
      </c>
      <c r="R61" s="14" t="str">
        <f>IF(OR(A61="",COUNTIF(Components!$A$8:$A$107,A61)&lt;&gt;1),"",IF(VLOOKUP(A61,Components!$A$8:$S$107,16,FALSE)="","",VLOOKUP(A61,Components!$A$8:$S$107,16,FALSE)))</f>
        <v/>
      </c>
      <c r="S61" s="14" t="str">
        <f>IF(OR(A61="",COUNTIF(Components!$A$8:$A$107,A61)&lt;&gt;1),"",IF(VLOOKUP(A61,Components!$A$8:$S$107,17,FALSE)="","",VLOOKUP(A61,Components!$A$8:$S$107,17,FALSE)))</f>
        <v/>
      </c>
      <c r="T61" s="15" t="str">
        <f>IF(OR(A61="",COUNTIF(Components!$A$8:$A$107,A61)&lt;&gt;1),"",IF(VLOOKUP(A61,Components!$A$8:$S$107,18,FALSE)="","",VLOOKUP(A61,Components!$A$8:$S$107,18,FALSE)))</f>
        <v/>
      </c>
      <c r="U61" s="15" t="str">
        <f t="shared" si="8"/>
        <v/>
      </c>
    </row>
    <row r="62" spans="1:21" ht="48" customHeight="1">
      <c r="A62" s="4"/>
      <c r="B62" s="11"/>
      <c r="C62" s="6" t="str">
        <f>IF(A62="","",IF(COUNTIF(Components!$A$8:$A$107,A62)&lt;&gt;1,"Pending",VLOOKUP(A62,Components!$A$8:$F$107,5,FALSE)))</f>
        <v/>
      </c>
      <c r="D62" s="5"/>
      <c r="E62" s="6" t="str">
        <f t="shared" si="5"/>
        <v/>
      </c>
      <c r="F62" s="6" t="str">
        <f t="shared" si="6"/>
        <v/>
      </c>
      <c r="G62" s="1" t="str">
        <f>IF(A62="",IF(OR(NOT(ISBLANK(B62)),NOT(ISBLANK(D62))),"Needs component",""),IF(COUNTIF(Components!$A$8:$A$107,A62)&lt;&gt;1,"Invalid component",IF(ISBLANK(B62),"Needs quantity",IF(NOT(ISNUMBER(B62)),"Invalid quantity",IF(OR(B62&lt;0,B62&lt;&gt;INT(B62)),"Invalid quantity",IF(NOT(ISNUMBER(E62)),"Needs heat input",IF(NOT(ISBLANK(D62)),"Override used","Catalog basis")))))))</f>
        <v/>
      </c>
      <c r="H62" s="1"/>
      <c r="I62" s="12" t="str">
        <f>IF(A62="","",IF(COUNTIF(Components!$A$8:$A$107,A62)&lt;&gt;1,"Select a unique catalog component",VLOOKUP(A62,Components!$A$8:$F$107,6,FALSE)))</f>
        <v/>
      </c>
      <c r="J62" s="1" t="str">
        <f>IF(OR(A62="",COUNTIF(Components!$A$8:$A$107,A62)&lt;&gt;1),"",IF(VLOOKUP(A62,Components!$A$8:$S$107,9,FALSE)="","",VLOOKUP(A62,Components!$A$8:$S$107,9,FALSE)))</f>
        <v/>
      </c>
      <c r="K62" s="14" t="str">
        <f>IF(OR(A62="",COUNTIF(Components!$A$8:$A$107,A62)&lt;&gt;1),"",IF(VLOOKUP(A62,Components!$A$8:$S$107,10,FALSE)="","",VLOOKUP(A62,Components!$A$8:$S$107,10,FALSE)))</f>
        <v/>
      </c>
      <c r="L62" s="14" t="str">
        <f>IF(OR(A62="",COUNTIF(Components!$A$8:$A$107,A62)&lt;&gt;1),"",IF(VLOOKUP(A62,Components!$A$8:$S$107,11,FALSE)="","",VLOOKUP(A62,Components!$A$8:$S$107,11,FALSE)))</f>
        <v/>
      </c>
      <c r="M62" s="14" t="str">
        <f>IF(OR(A62="",COUNTIF(Components!$A$8:$A$107,A62)&lt;&gt;1),"",IF(VLOOKUP(A62,Components!$A$8:$S$107,12,FALSE)="","",VLOOKUP(A62,Components!$A$8:$S$107,12,FALSE)))</f>
        <v/>
      </c>
      <c r="N62" s="15" t="str">
        <f>IF(OR(A62="",COUNTIF(Components!$A$8:$A$107,A62)&lt;&gt;1),"",IF(VLOOKUP(A62,Components!$A$8:$S$107,13,FALSE)="","",VLOOKUP(A62,Components!$A$8:$S$107,13,FALSE)))</f>
        <v/>
      </c>
      <c r="O62" s="15" t="str">
        <f t="shared" si="7"/>
        <v/>
      </c>
      <c r="P62" s="1" t="str">
        <f>IF(OR(A62="",COUNTIF(Components!$A$8:$A$107,A62)&lt;&gt;1),"",IF(VLOOKUP(A62,Components!$A$8:$S$107,14,FALSE)="","",VLOOKUP(A62,Components!$A$8:$S$107,14,FALSE)))</f>
        <v/>
      </c>
      <c r="Q62" s="14" t="str">
        <f>IF(OR(A62="",COUNTIF(Components!$A$8:$A$107,A62)&lt;&gt;1),"",IF(VLOOKUP(A62,Components!$A$8:$S$107,15,FALSE)="","",VLOOKUP(A62,Components!$A$8:$S$107,15,FALSE)))</f>
        <v/>
      </c>
      <c r="R62" s="14" t="str">
        <f>IF(OR(A62="",COUNTIF(Components!$A$8:$A$107,A62)&lt;&gt;1),"",IF(VLOOKUP(A62,Components!$A$8:$S$107,16,FALSE)="","",VLOOKUP(A62,Components!$A$8:$S$107,16,FALSE)))</f>
        <v/>
      </c>
      <c r="S62" s="14" t="str">
        <f>IF(OR(A62="",COUNTIF(Components!$A$8:$A$107,A62)&lt;&gt;1),"",IF(VLOOKUP(A62,Components!$A$8:$S$107,17,FALSE)="","",VLOOKUP(A62,Components!$A$8:$S$107,17,FALSE)))</f>
        <v/>
      </c>
      <c r="T62" s="15" t="str">
        <f>IF(OR(A62="",COUNTIF(Components!$A$8:$A$107,A62)&lt;&gt;1),"",IF(VLOOKUP(A62,Components!$A$8:$S$107,18,FALSE)="","",VLOOKUP(A62,Components!$A$8:$S$107,18,FALSE)))</f>
        <v/>
      </c>
      <c r="U62" s="15" t="str">
        <f t="shared" si="8"/>
        <v/>
      </c>
    </row>
    <row r="63" spans="1:21" ht="48" customHeight="1">
      <c r="A63" s="4"/>
      <c r="B63" s="11"/>
      <c r="C63" s="6" t="str">
        <f>IF(A63="","",IF(COUNTIF(Components!$A$8:$A$107,A63)&lt;&gt;1,"Pending",VLOOKUP(A63,Components!$A$8:$F$107,5,FALSE)))</f>
        <v/>
      </c>
      <c r="D63" s="5"/>
      <c r="E63" s="6" t="str">
        <f t="shared" si="5"/>
        <v/>
      </c>
      <c r="F63" s="6" t="str">
        <f t="shared" si="6"/>
        <v/>
      </c>
      <c r="G63" s="1" t="str">
        <f>IF(A63="",IF(OR(NOT(ISBLANK(B63)),NOT(ISBLANK(D63))),"Needs component",""),IF(COUNTIF(Components!$A$8:$A$107,A63)&lt;&gt;1,"Invalid component",IF(ISBLANK(B63),"Needs quantity",IF(NOT(ISNUMBER(B63)),"Invalid quantity",IF(OR(B63&lt;0,B63&lt;&gt;INT(B63)),"Invalid quantity",IF(NOT(ISNUMBER(E63)),"Needs heat input",IF(NOT(ISBLANK(D63)),"Override used","Catalog basis")))))))</f>
        <v/>
      </c>
      <c r="H63" s="1"/>
      <c r="I63" s="12" t="str">
        <f>IF(A63="","",IF(COUNTIF(Components!$A$8:$A$107,A63)&lt;&gt;1,"Select a unique catalog component",VLOOKUP(A63,Components!$A$8:$F$107,6,FALSE)))</f>
        <v/>
      </c>
      <c r="J63" s="1" t="str">
        <f>IF(OR(A63="",COUNTIF(Components!$A$8:$A$107,A63)&lt;&gt;1),"",IF(VLOOKUP(A63,Components!$A$8:$S$107,9,FALSE)="","",VLOOKUP(A63,Components!$A$8:$S$107,9,FALSE)))</f>
        <v/>
      </c>
      <c r="K63" s="14" t="str">
        <f>IF(OR(A63="",COUNTIF(Components!$A$8:$A$107,A63)&lt;&gt;1),"",IF(VLOOKUP(A63,Components!$A$8:$S$107,10,FALSE)="","",VLOOKUP(A63,Components!$A$8:$S$107,10,FALSE)))</f>
        <v/>
      </c>
      <c r="L63" s="14" t="str">
        <f>IF(OR(A63="",COUNTIF(Components!$A$8:$A$107,A63)&lt;&gt;1),"",IF(VLOOKUP(A63,Components!$A$8:$S$107,11,FALSE)="","",VLOOKUP(A63,Components!$A$8:$S$107,11,FALSE)))</f>
        <v/>
      </c>
      <c r="M63" s="14" t="str">
        <f>IF(OR(A63="",COUNTIF(Components!$A$8:$A$107,A63)&lt;&gt;1),"",IF(VLOOKUP(A63,Components!$A$8:$S$107,12,FALSE)="","",VLOOKUP(A63,Components!$A$8:$S$107,12,FALSE)))</f>
        <v/>
      </c>
      <c r="N63" s="15" t="str">
        <f>IF(OR(A63="",COUNTIF(Components!$A$8:$A$107,A63)&lt;&gt;1),"",IF(VLOOKUP(A63,Components!$A$8:$S$107,13,FALSE)="","",VLOOKUP(A63,Components!$A$8:$S$107,13,FALSE)))</f>
        <v/>
      </c>
      <c r="O63" s="15" t="str">
        <f t="shared" si="7"/>
        <v/>
      </c>
      <c r="P63" s="1" t="str">
        <f>IF(OR(A63="",COUNTIF(Components!$A$8:$A$107,A63)&lt;&gt;1),"",IF(VLOOKUP(A63,Components!$A$8:$S$107,14,FALSE)="","",VLOOKUP(A63,Components!$A$8:$S$107,14,FALSE)))</f>
        <v/>
      </c>
      <c r="Q63" s="14" t="str">
        <f>IF(OR(A63="",COUNTIF(Components!$A$8:$A$107,A63)&lt;&gt;1),"",IF(VLOOKUP(A63,Components!$A$8:$S$107,15,FALSE)="","",VLOOKUP(A63,Components!$A$8:$S$107,15,FALSE)))</f>
        <v/>
      </c>
      <c r="R63" s="14" t="str">
        <f>IF(OR(A63="",COUNTIF(Components!$A$8:$A$107,A63)&lt;&gt;1),"",IF(VLOOKUP(A63,Components!$A$8:$S$107,16,FALSE)="","",VLOOKUP(A63,Components!$A$8:$S$107,16,FALSE)))</f>
        <v/>
      </c>
      <c r="S63" s="14" t="str">
        <f>IF(OR(A63="",COUNTIF(Components!$A$8:$A$107,A63)&lt;&gt;1),"",IF(VLOOKUP(A63,Components!$A$8:$S$107,17,FALSE)="","",VLOOKUP(A63,Components!$A$8:$S$107,17,FALSE)))</f>
        <v/>
      </c>
      <c r="T63" s="15" t="str">
        <f>IF(OR(A63="",COUNTIF(Components!$A$8:$A$107,A63)&lt;&gt;1),"",IF(VLOOKUP(A63,Components!$A$8:$S$107,18,FALSE)="","",VLOOKUP(A63,Components!$A$8:$S$107,18,FALSE)))</f>
        <v/>
      </c>
      <c r="U63" s="15" t="str">
        <f t="shared" si="8"/>
        <v/>
      </c>
    </row>
    <row r="64" spans="1:21" ht="48" customHeight="1">
      <c r="A64" s="4"/>
      <c r="B64" s="11"/>
      <c r="C64" s="6" t="str">
        <f>IF(A64="","",IF(COUNTIF(Components!$A$8:$A$107,A64)&lt;&gt;1,"Pending",VLOOKUP(A64,Components!$A$8:$F$107,5,FALSE)))</f>
        <v/>
      </c>
      <c r="D64" s="5"/>
      <c r="E64" s="6" t="str">
        <f t="shared" si="5"/>
        <v/>
      </c>
      <c r="F64" s="6" t="str">
        <f t="shared" si="6"/>
        <v/>
      </c>
      <c r="G64" s="1" t="str">
        <f>IF(A64="",IF(OR(NOT(ISBLANK(B64)),NOT(ISBLANK(D64))),"Needs component",""),IF(COUNTIF(Components!$A$8:$A$107,A64)&lt;&gt;1,"Invalid component",IF(ISBLANK(B64),"Needs quantity",IF(NOT(ISNUMBER(B64)),"Invalid quantity",IF(OR(B64&lt;0,B64&lt;&gt;INT(B64)),"Invalid quantity",IF(NOT(ISNUMBER(E64)),"Needs heat input",IF(NOT(ISBLANK(D64)),"Override used","Catalog basis")))))))</f>
        <v/>
      </c>
      <c r="H64" s="1"/>
      <c r="I64" s="12" t="str">
        <f>IF(A64="","",IF(COUNTIF(Components!$A$8:$A$107,A64)&lt;&gt;1,"Select a unique catalog component",VLOOKUP(A64,Components!$A$8:$F$107,6,FALSE)))</f>
        <v/>
      </c>
      <c r="J64" s="1" t="str">
        <f>IF(OR(A64="",COUNTIF(Components!$A$8:$A$107,A64)&lt;&gt;1),"",IF(VLOOKUP(A64,Components!$A$8:$S$107,9,FALSE)="","",VLOOKUP(A64,Components!$A$8:$S$107,9,FALSE)))</f>
        <v/>
      </c>
      <c r="K64" s="14" t="str">
        <f>IF(OR(A64="",COUNTIF(Components!$A$8:$A$107,A64)&lt;&gt;1),"",IF(VLOOKUP(A64,Components!$A$8:$S$107,10,FALSE)="","",VLOOKUP(A64,Components!$A$8:$S$107,10,FALSE)))</f>
        <v/>
      </c>
      <c r="L64" s="14" t="str">
        <f>IF(OR(A64="",COUNTIF(Components!$A$8:$A$107,A64)&lt;&gt;1),"",IF(VLOOKUP(A64,Components!$A$8:$S$107,11,FALSE)="","",VLOOKUP(A64,Components!$A$8:$S$107,11,FALSE)))</f>
        <v/>
      </c>
      <c r="M64" s="14" t="str">
        <f>IF(OR(A64="",COUNTIF(Components!$A$8:$A$107,A64)&lt;&gt;1),"",IF(VLOOKUP(A64,Components!$A$8:$S$107,12,FALSE)="","",VLOOKUP(A64,Components!$A$8:$S$107,12,FALSE)))</f>
        <v/>
      </c>
      <c r="N64" s="15" t="str">
        <f>IF(OR(A64="",COUNTIF(Components!$A$8:$A$107,A64)&lt;&gt;1),"",IF(VLOOKUP(A64,Components!$A$8:$S$107,13,FALSE)="","",VLOOKUP(A64,Components!$A$8:$S$107,13,FALSE)))</f>
        <v/>
      </c>
      <c r="O64" s="15" t="str">
        <f t="shared" si="7"/>
        <v/>
      </c>
      <c r="P64" s="1" t="str">
        <f>IF(OR(A64="",COUNTIF(Components!$A$8:$A$107,A64)&lt;&gt;1),"",IF(VLOOKUP(A64,Components!$A$8:$S$107,14,FALSE)="","",VLOOKUP(A64,Components!$A$8:$S$107,14,FALSE)))</f>
        <v/>
      </c>
      <c r="Q64" s="14" t="str">
        <f>IF(OR(A64="",COUNTIF(Components!$A$8:$A$107,A64)&lt;&gt;1),"",IF(VLOOKUP(A64,Components!$A$8:$S$107,15,FALSE)="","",VLOOKUP(A64,Components!$A$8:$S$107,15,FALSE)))</f>
        <v/>
      </c>
      <c r="R64" s="14" t="str">
        <f>IF(OR(A64="",COUNTIF(Components!$A$8:$A$107,A64)&lt;&gt;1),"",IF(VLOOKUP(A64,Components!$A$8:$S$107,16,FALSE)="","",VLOOKUP(A64,Components!$A$8:$S$107,16,FALSE)))</f>
        <v/>
      </c>
      <c r="S64" s="14" t="str">
        <f>IF(OR(A64="",COUNTIF(Components!$A$8:$A$107,A64)&lt;&gt;1),"",IF(VLOOKUP(A64,Components!$A$8:$S$107,17,FALSE)="","",VLOOKUP(A64,Components!$A$8:$S$107,17,FALSE)))</f>
        <v/>
      </c>
      <c r="T64" s="15" t="str">
        <f>IF(OR(A64="",COUNTIF(Components!$A$8:$A$107,A64)&lt;&gt;1),"",IF(VLOOKUP(A64,Components!$A$8:$S$107,18,FALSE)="","",VLOOKUP(A64,Components!$A$8:$S$107,18,FALSE)))</f>
        <v/>
      </c>
      <c r="U64" s="15" t="str">
        <f t="shared" si="8"/>
        <v/>
      </c>
    </row>
    <row r="65" spans="1:21" ht="48" customHeight="1">
      <c r="A65" s="4"/>
      <c r="B65" s="11"/>
      <c r="C65" s="6" t="str">
        <f>IF(A65="","",IF(COUNTIF(Components!$A$8:$A$107,A65)&lt;&gt;1,"Pending",VLOOKUP(A65,Components!$A$8:$F$107,5,FALSE)))</f>
        <v/>
      </c>
      <c r="D65" s="5"/>
      <c r="E65" s="6" t="str">
        <f t="shared" si="5"/>
        <v/>
      </c>
      <c r="F65" s="6" t="str">
        <f t="shared" si="6"/>
        <v/>
      </c>
      <c r="G65" s="1" t="str">
        <f>IF(A65="",IF(OR(NOT(ISBLANK(B65)),NOT(ISBLANK(D65))),"Needs component",""),IF(COUNTIF(Components!$A$8:$A$107,A65)&lt;&gt;1,"Invalid component",IF(ISBLANK(B65),"Needs quantity",IF(NOT(ISNUMBER(B65)),"Invalid quantity",IF(OR(B65&lt;0,B65&lt;&gt;INT(B65)),"Invalid quantity",IF(NOT(ISNUMBER(E65)),"Needs heat input",IF(NOT(ISBLANK(D65)),"Override used","Catalog basis")))))))</f>
        <v/>
      </c>
      <c r="H65" s="1"/>
      <c r="I65" s="12" t="str">
        <f>IF(A65="","",IF(COUNTIF(Components!$A$8:$A$107,A65)&lt;&gt;1,"Select a unique catalog component",VLOOKUP(A65,Components!$A$8:$F$107,6,FALSE)))</f>
        <v/>
      </c>
      <c r="J65" s="1" t="str">
        <f>IF(OR(A65="",COUNTIF(Components!$A$8:$A$107,A65)&lt;&gt;1),"",IF(VLOOKUP(A65,Components!$A$8:$S$107,9,FALSE)="","",VLOOKUP(A65,Components!$A$8:$S$107,9,FALSE)))</f>
        <v/>
      </c>
      <c r="K65" s="14" t="str">
        <f>IF(OR(A65="",COUNTIF(Components!$A$8:$A$107,A65)&lt;&gt;1),"",IF(VLOOKUP(A65,Components!$A$8:$S$107,10,FALSE)="","",VLOOKUP(A65,Components!$A$8:$S$107,10,FALSE)))</f>
        <v/>
      </c>
      <c r="L65" s="14" t="str">
        <f>IF(OR(A65="",COUNTIF(Components!$A$8:$A$107,A65)&lt;&gt;1),"",IF(VLOOKUP(A65,Components!$A$8:$S$107,11,FALSE)="","",VLOOKUP(A65,Components!$A$8:$S$107,11,FALSE)))</f>
        <v/>
      </c>
      <c r="M65" s="14" t="str">
        <f>IF(OR(A65="",COUNTIF(Components!$A$8:$A$107,A65)&lt;&gt;1),"",IF(VLOOKUP(A65,Components!$A$8:$S$107,12,FALSE)="","",VLOOKUP(A65,Components!$A$8:$S$107,12,FALSE)))</f>
        <v/>
      </c>
      <c r="N65" s="15" t="str">
        <f>IF(OR(A65="",COUNTIF(Components!$A$8:$A$107,A65)&lt;&gt;1),"",IF(VLOOKUP(A65,Components!$A$8:$S$107,13,FALSE)="","",VLOOKUP(A65,Components!$A$8:$S$107,13,FALSE)))</f>
        <v/>
      </c>
      <c r="O65" s="15" t="str">
        <f t="shared" si="7"/>
        <v/>
      </c>
      <c r="P65" s="1" t="str">
        <f>IF(OR(A65="",COUNTIF(Components!$A$8:$A$107,A65)&lt;&gt;1),"",IF(VLOOKUP(A65,Components!$A$8:$S$107,14,FALSE)="","",VLOOKUP(A65,Components!$A$8:$S$107,14,FALSE)))</f>
        <v/>
      </c>
      <c r="Q65" s="14" t="str">
        <f>IF(OR(A65="",COUNTIF(Components!$A$8:$A$107,A65)&lt;&gt;1),"",IF(VLOOKUP(A65,Components!$A$8:$S$107,15,FALSE)="","",VLOOKUP(A65,Components!$A$8:$S$107,15,FALSE)))</f>
        <v/>
      </c>
      <c r="R65" s="14" t="str">
        <f>IF(OR(A65="",COUNTIF(Components!$A$8:$A$107,A65)&lt;&gt;1),"",IF(VLOOKUP(A65,Components!$A$8:$S$107,16,FALSE)="","",VLOOKUP(A65,Components!$A$8:$S$107,16,FALSE)))</f>
        <v/>
      </c>
      <c r="S65" s="14" t="str">
        <f>IF(OR(A65="",COUNTIF(Components!$A$8:$A$107,A65)&lt;&gt;1),"",IF(VLOOKUP(A65,Components!$A$8:$S$107,17,FALSE)="","",VLOOKUP(A65,Components!$A$8:$S$107,17,FALSE)))</f>
        <v/>
      </c>
      <c r="T65" s="15" t="str">
        <f>IF(OR(A65="",COUNTIF(Components!$A$8:$A$107,A65)&lt;&gt;1),"",IF(VLOOKUP(A65,Components!$A$8:$S$107,18,FALSE)="","",VLOOKUP(A65,Components!$A$8:$S$107,18,FALSE)))</f>
        <v/>
      </c>
      <c r="U65" s="15" t="str">
        <f t="shared" si="8"/>
        <v/>
      </c>
    </row>
    <row r="66" spans="1:21" ht="48" customHeight="1">
      <c r="A66" s="4"/>
      <c r="B66" s="11"/>
      <c r="C66" s="6" t="str">
        <f>IF(A66="","",IF(COUNTIF(Components!$A$8:$A$107,A66)&lt;&gt;1,"Pending",VLOOKUP(A66,Components!$A$8:$F$107,5,FALSE)))</f>
        <v/>
      </c>
      <c r="D66" s="5"/>
      <c r="E66" s="6" t="str">
        <f t="shared" si="5"/>
        <v/>
      </c>
      <c r="F66" s="6" t="str">
        <f t="shared" si="6"/>
        <v/>
      </c>
      <c r="G66" s="1" t="str">
        <f>IF(A66="",IF(OR(NOT(ISBLANK(B66)),NOT(ISBLANK(D66))),"Needs component",""),IF(COUNTIF(Components!$A$8:$A$107,A66)&lt;&gt;1,"Invalid component",IF(ISBLANK(B66),"Needs quantity",IF(NOT(ISNUMBER(B66)),"Invalid quantity",IF(OR(B66&lt;0,B66&lt;&gt;INT(B66)),"Invalid quantity",IF(NOT(ISNUMBER(E66)),"Needs heat input",IF(NOT(ISBLANK(D66)),"Override used","Catalog basis")))))))</f>
        <v/>
      </c>
      <c r="H66" s="1"/>
      <c r="I66" s="12" t="str">
        <f>IF(A66="","",IF(COUNTIF(Components!$A$8:$A$107,A66)&lt;&gt;1,"Select a unique catalog component",VLOOKUP(A66,Components!$A$8:$F$107,6,FALSE)))</f>
        <v/>
      </c>
      <c r="J66" s="1" t="str">
        <f>IF(OR(A66="",COUNTIF(Components!$A$8:$A$107,A66)&lt;&gt;1),"",IF(VLOOKUP(A66,Components!$A$8:$S$107,9,FALSE)="","",VLOOKUP(A66,Components!$A$8:$S$107,9,FALSE)))</f>
        <v/>
      </c>
      <c r="K66" s="14" t="str">
        <f>IF(OR(A66="",COUNTIF(Components!$A$8:$A$107,A66)&lt;&gt;1),"",IF(VLOOKUP(A66,Components!$A$8:$S$107,10,FALSE)="","",VLOOKUP(A66,Components!$A$8:$S$107,10,FALSE)))</f>
        <v/>
      </c>
      <c r="L66" s="14" t="str">
        <f>IF(OR(A66="",COUNTIF(Components!$A$8:$A$107,A66)&lt;&gt;1),"",IF(VLOOKUP(A66,Components!$A$8:$S$107,11,FALSE)="","",VLOOKUP(A66,Components!$A$8:$S$107,11,FALSE)))</f>
        <v/>
      </c>
      <c r="M66" s="14" t="str">
        <f>IF(OR(A66="",COUNTIF(Components!$A$8:$A$107,A66)&lt;&gt;1),"",IF(VLOOKUP(A66,Components!$A$8:$S$107,12,FALSE)="","",VLOOKUP(A66,Components!$A$8:$S$107,12,FALSE)))</f>
        <v/>
      </c>
      <c r="N66" s="15" t="str">
        <f>IF(OR(A66="",COUNTIF(Components!$A$8:$A$107,A66)&lt;&gt;1),"",IF(VLOOKUP(A66,Components!$A$8:$S$107,13,FALSE)="","",VLOOKUP(A66,Components!$A$8:$S$107,13,FALSE)))</f>
        <v/>
      </c>
      <c r="O66" s="15" t="str">
        <f t="shared" si="7"/>
        <v/>
      </c>
      <c r="P66" s="1" t="str">
        <f>IF(OR(A66="",COUNTIF(Components!$A$8:$A$107,A66)&lt;&gt;1),"",IF(VLOOKUP(A66,Components!$A$8:$S$107,14,FALSE)="","",VLOOKUP(A66,Components!$A$8:$S$107,14,FALSE)))</f>
        <v/>
      </c>
      <c r="Q66" s="14" t="str">
        <f>IF(OR(A66="",COUNTIF(Components!$A$8:$A$107,A66)&lt;&gt;1),"",IF(VLOOKUP(A66,Components!$A$8:$S$107,15,FALSE)="","",VLOOKUP(A66,Components!$A$8:$S$107,15,FALSE)))</f>
        <v/>
      </c>
      <c r="R66" s="14" t="str">
        <f>IF(OR(A66="",COUNTIF(Components!$A$8:$A$107,A66)&lt;&gt;1),"",IF(VLOOKUP(A66,Components!$A$8:$S$107,16,FALSE)="","",VLOOKUP(A66,Components!$A$8:$S$107,16,FALSE)))</f>
        <v/>
      </c>
      <c r="S66" s="14" t="str">
        <f>IF(OR(A66="",COUNTIF(Components!$A$8:$A$107,A66)&lt;&gt;1),"",IF(VLOOKUP(A66,Components!$A$8:$S$107,17,FALSE)="","",VLOOKUP(A66,Components!$A$8:$S$107,17,FALSE)))</f>
        <v/>
      </c>
      <c r="T66" s="15" t="str">
        <f>IF(OR(A66="",COUNTIF(Components!$A$8:$A$107,A66)&lt;&gt;1),"",IF(VLOOKUP(A66,Components!$A$8:$S$107,18,FALSE)="","",VLOOKUP(A66,Components!$A$8:$S$107,18,FALSE)))</f>
        <v/>
      </c>
      <c r="U66" s="15" t="str">
        <f t="shared" si="8"/>
        <v/>
      </c>
    </row>
    <row r="67" spans="1:21" ht="48" customHeight="1">
      <c r="A67" s="4"/>
      <c r="B67" s="11"/>
      <c r="C67" s="6" t="str">
        <f>IF(A67="","",IF(COUNTIF(Components!$A$8:$A$107,A67)&lt;&gt;1,"Pending",VLOOKUP(A67,Components!$A$8:$F$107,5,FALSE)))</f>
        <v/>
      </c>
      <c r="D67" s="5"/>
      <c r="E67" s="6" t="str">
        <f t="shared" si="5"/>
        <v/>
      </c>
      <c r="F67" s="6" t="str">
        <f t="shared" si="6"/>
        <v/>
      </c>
      <c r="G67" s="1" t="str">
        <f>IF(A67="",IF(OR(NOT(ISBLANK(B67)),NOT(ISBLANK(D67))),"Needs component",""),IF(COUNTIF(Components!$A$8:$A$107,A67)&lt;&gt;1,"Invalid component",IF(ISBLANK(B67),"Needs quantity",IF(NOT(ISNUMBER(B67)),"Invalid quantity",IF(OR(B67&lt;0,B67&lt;&gt;INT(B67)),"Invalid quantity",IF(NOT(ISNUMBER(E67)),"Needs heat input",IF(NOT(ISBLANK(D67)),"Override used","Catalog basis")))))))</f>
        <v/>
      </c>
      <c r="H67" s="1"/>
      <c r="I67" s="12" t="str">
        <f>IF(A67="","",IF(COUNTIF(Components!$A$8:$A$107,A67)&lt;&gt;1,"Select a unique catalog component",VLOOKUP(A67,Components!$A$8:$F$107,6,FALSE)))</f>
        <v/>
      </c>
      <c r="J67" s="1" t="str">
        <f>IF(OR(A67="",COUNTIF(Components!$A$8:$A$107,A67)&lt;&gt;1),"",IF(VLOOKUP(A67,Components!$A$8:$S$107,9,FALSE)="","",VLOOKUP(A67,Components!$A$8:$S$107,9,FALSE)))</f>
        <v/>
      </c>
      <c r="K67" s="14" t="str">
        <f>IF(OR(A67="",COUNTIF(Components!$A$8:$A$107,A67)&lt;&gt;1),"",IF(VLOOKUP(A67,Components!$A$8:$S$107,10,FALSE)="","",VLOOKUP(A67,Components!$A$8:$S$107,10,FALSE)))</f>
        <v/>
      </c>
      <c r="L67" s="14" t="str">
        <f>IF(OR(A67="",COUNTIF(Components!$A$8:$A$107,A67)&lt;&gt;1),"",IF(VLOOKUP(A67,Components!$A$8:$S$107,11,FALSE)="","",VLOOKUP(A67,Components!$A$8:$S$107,11,FALSE)))</f>
        <v/>
      </c>
      <c r="M67" s="14" t="str">
        <f>IF(OR(A67="",COUNTIF(Components!$A$8:$A$107,A67)&lt;&gt;1),"",IF(VLOOKUP(A67,Components!$A$8:$S$107,12,FALSE)="","",VLOOKUP(A67,Components!$A$8:$S$107,12,FALSE)))</f>
        <v/>
      </c>
      <c r="N67" s="15" t="str">
        <f>IF(OR(A67="",COUNTIF(Components!$A$8:$A$107,A67)&lt;&gt;1),"",IF(VLOOKUP(A67,Components!$A$8:$S$107,13,FALSE)="","",VLOOKUP(A67,Components!$A$8:$S$107,13,FALSE)))</f>
        <v/>
      </c>
      <c r="O67" s="15" t="str">
        <f t="shared" si="7"/>
        <v/>
      </c>
      <c r="P67" s="1" t="str">
        <f>IF(OR(A67="",COUNTIF(Components!$A$8:$A$107,A67)&lt;&gt;1),"",IF(VLOOKUP(A67,Components!$A$8:$S$107,14,FALSE)="","",VLOOKUP(A67,Components!$A$8:$S$107,14,FALSE)))</f>
        <v/>
      </c>
      <c r="Q67" s="14" t="str">
        <f>IF(OR(A67="",COUNTIF(Components!$A$8:$A$107,A67)&lt;&gt;1),"",IF(VLOOKUP(A67,Components!$A$8:$S$107,15,FALSE)="","",VLOOKUP(A67,Components!$A$8:$S$107,15,FALSE)))</f>
        <v/>
      </c>
      <c r="R67" s="14" t="str">
        <f>IF(OR(A67="",COUNTIF(Components!$A$8:$A$107,A67)&lt;&gt;1),"",IF(VLOOKUP(A67,Components!$A$8:$S$107,16,FALSE)="","",VLOOKUP(A67,Components!$A$8:$S$107,16,FALSE)))</f>
        <v/>
      </c>
      <c r="S67" s="14" t="str">
        <f>IF(OR(A67="",COUNTIF(Components!$A$8:$A$107,A67)&lt;&gt;1),"",IF(VLOOKUP(A67,Components!$A$8:$S$107,17,FALSE)="","",VLOOKUP(A67,Components!$A$8:$S$107,17,FALSE)))</f>
        <v/>
      </c>
      <c r="T67" s="15" t="str">
        <f>IF(OR(A67="",COUNTIF(Components!$A$8:$A$107,A67)&lt;&gt;1),"",IF(VLOOKUP(A67,Components!$A$8:$S$107,18,FALSE)="","",VLOOKUP(A67,Components!$A$8:$S$107,18,FALSE)))</f>
        <v/>
      </c>
      <c r="U67" s="15" t="str">
        <f t="shared" si="8"/>
        <v/>
      </c>
    </row>
    <row r="68" spans="1:21" ht="48" customHeight="1">
      <c r="A68" s="4"/>
      <c r="B68" s="11"/>
      <c r="C68" s="6" t="str">
        <f>IF(A68="","",IF(COUNTIF(Components!$A$8:$A$107,A68)&lt;&gt;1,"Pending",VLOOKUP(A68,Components!$A$8:$F$107,5,FALSE)))</f>
        <v/>
      </c>
      <c r="D68" s="5"/>
      <c r="E68" s="6" t="str">
        <f t="shared" si="5"/>
        <v/>
      </c>
      <c r="F68" s="6" t="str">
        <f t="shared" si="6"/>
        <v/>
      </c>
      <c r="G68" s="1" t="str">
        <f>IF(A68="",IF(OR(NOT(ISBLANK(B68)),NOT(ISBLANK(D68))),"Needs component",""),IF(COUNTIF(Components!$A$8:$A$107,A68)&lt;&gt;1,"Invalid component",IF(ISBLANK(B68),"Needs quantity",IF(NOT(ISNUMBER(B68)),"Invalid quantity",IF(OR(B68&lt;0,B68&lt;&gt;INT(B68)),"Invalid quantity",IF(NOT(ISNUMBER(E68)),"Needs heat input",IF(NOT(ISBLANK(D68)),"Override used","Catalog basis")))))))</f>
        <v/>
      </c>
      <c r="H68" s="1"/>
      <c r="I68" s="12" t="str">
        <f>IF(A68="","",IF(COUNTIF(Components!$A$8:$A$107,A68)&lt;&gt;1,"Select a unique catalog component",VLOOKUP(A68,Components!$A$8:$F$107,6,FALSE)))</f>
        <v/>
      </c>
      <c r="J68" s="1" t="str">
        <f>IF(OR(A68="",COUNTIF(Components!$A$8:$A$107,A68)&lt;&gt;1),"",IF(VLOOKUP(A68,Components!$A$8:$S$107,9,FALSE)="","",VLOOKUP(A68,Components!$A$8:$S$107,9,FALSE)))</f>
        <v/>
      </c>
      <c r="K68" s="14" t="str">
        <f>IF(OR(A68="",COUNTIF(Components!$A$8:$A$107,A68)&lt;&gt;1),"",IF(VLOOKUP(A68,Components!$A$8:$S$107,10,FALSE)="","",VLOOKUP(A68,Components!$A$8:$S$107,10,FALSE)))</f>
        <v/>
      </c>
      <c r="L68" s="14" t="str">
        <f>IF(OR(A68="",COUNTIF(Components!$A$8:$A$107,A68)&lt;&gt;1),"",IF(VLOOKUP(A68,Components!$A$8:$S$107,11,FALSE)="","",VLOOKUP(A68,Components!$A$8:$S$107,11,FALSE)))</f>
        <v/>
      </c>
      <c r="M68" s="14" t="str">
        <f>IF(OR(A68="",COUNTIF(Components!$A$8:$A$107,A68)&lt;&gt;1),"",IF(VLOOKUP(A68,Components!$A$8:$S$107,12,FALSE)="","",VLOOKUP(A68,Components!$A$8:$S$107,12,FALSE)))</f>
        <v/>
      </c>
      <c r="N68" s="15" t="str">
        <f>IF(OR(A68="",COUNTIF(Components!$A$8:$A$107,A68)&lt;&gt;1),"",IF(VLOOKUP(A68,Components!$A$8:$S$107,13,FALSE)="","",VLOOKUP(A68,Components!$A$8:$S$107,13,FALSE)))</f>
        <v/>
      </c>
      <c r="O68" s="15" t="str">
        <f t="shared" si="7"/>
        <v/>
      </c>
      <c r="P68" s="1" t="str">
        <f>IF(OR(A68="",COUNTIF(Components!$A$8:$A$107,A68)&lt;&gt;1),"",IF(VLOOKUP(A68,Components!$A$8:$S$107,14,FALSE)="","",VLOOKUP(A68,Components!$A$8:$S$107,14,FALSE)))</f>
        <v/>
      </c>
      <c r="Q68" s="14" t="str">
        <f>IF(OR(A68="",COUNTIF(Components!$A$8:$A$107,A68)&lt;&gt;1),"",IF(VLOOKUP(A68,Components!$A$8:$S$107,15,FALSE)="","",VLOOKUP(A68,Components!$A$8:$S$107,15,FALSE)))</f>
        <v/>
      </c>
      <c r="R68" s="14" t="str">
        <f>IF(OR(A68="",COUNTIF(Components!$A$8:$A$107,A68)&lt;&gt;1),"",IF(VLOOKUP(A68,Components!$A$8:$S$107,16,FALSE)="","",VLOOKUP(A68,Components!$A$8:$S$107,16,FALSE)))</f>
        <v/>
      </c>
      <c r="S68" s="14" t="str">
        <f>IF(OR(A68="",COUNTIF(Components!$A$8:$A$107,A68)&lt;&gt;1),"",IF(VLOOKUP(A68,Components!$A$8:$S$107,17,FALSE)="","",VLOOKUP(A68,Components!$A$8:$S$107,17,FALSE)))</f>
        <v/>
      </c>
      <c r="T68" s="15" t="str">
        <f>IF(OR(A68="",COUNTIF(Components!$A$8:$A$107,A68)&lt;&gt;1),"",IF(VLOOKUP(A68,Components!$A$8:$S$107,18,FALSE)="","",VLOOKUP(A68,Components!$A$8:$S$107,18,FALSE)))</f>
        <v/>
      </c>
      <c r="U68" s="15" t="str">
        <f t="shared" si="8"/>
        <v/>
      </c>
    </row>
    <row r="69" spans="1:21" ht="48" customHeight="1">
      <c r="A69" s="4"/>
      <c r="B69" s="11"/>
      <c r="C69" s="6" t="str">
        <f>IF(A69="","",IF(COUNTIF(Components!$A$8:$A$107,A69)&lt;&gt;1,"Pending",VLOOKUP(A69,Components!$A$8:$F$107,5,FALSE)))</f>
        <v/>
      </c>
      <c r="D69" s="5"/>
      <c r="E69" s="6" t="str">
        <f t="shared" si="5"/>
        <v/>
      </c>
      <c r="F69" s="6" t="str">
        <f t="shared" si="6"/>
        <v/>
      </c>
      <c r="G69" s="1" t="str">
        <f>IF(A69="",IF(OR(NOT(ISBLANK(B69)),NOT(ISBLANK(D69))),"Needs component",""),IF(COUNTIF(Components!$A$8:$A$107,A69)&lt;&gt;1,"Invalid component",IF(ISBLANK(B69),"Needs quantity",IF(NOT(ISNUMBER(B69)),"Invalid quantity",IF(OR(B69&lt;0,B69&lt;&gt;INT(B69)),"Invalid quantity",IF(NOT(ISNUMBER(E69)),"Needs heat input",IF(NOT(ISBLANK(D69)),"Override used","Catalog basis")))))))</f>
        <v/>
      </c>
      <c r="H69" s="1"/>
      <c r="I69" s="12" t="str">
        <f>IF(A69="","",IF(COUNTIF(Components!$A$8:$A$107,A69)&lt;&gt;1,"Select a unique catalog component",VLOOKUP(A69,Components!$A$8:$F$107,6,FALSE)))</f>
        <v/>
      </c>
      <c r="J69" s="1" t="str">
        <f>IF(OR(A69="",COUNTIF(Components!$A$8:$A$107,A69)&lt;&gt;1),"",IF(VLOOKUP(A69,Components!$A$8:$S$107,9,FALSE)="","",VLOOKUP(A69,Components!$A$8:$S$107,9,FALSE)))</f>
        <v/>
      </c>
      <c r="K69" s="14" t="str">
        <f>IF(OR(A69="",COUNTIF(Components!$A$8:$A$107,A69)&lt;&gt;1),"",IF(VLOOKUP(A69,Components!$A$8:$S$107,10,FALSE)="","",VLOOKUP(A69,Components!$A$8:$S$107,10,FALSE)))</f>
        <v/>
      </c>
      <c r="L69" s="14" t="str">
        <f>IF(OR(A69="",COUNTIF(Components!$A$8:$A$107,A69)&lt;&gt;1),"",IF(VLOOKUP(A69,Components!$A$8:$S$107,11,FALSE)="","",VLOOKUP(A69,Components!$A$8:$S$107,11,FALSE)))</f>
        <v/>
      </c>
      <c r="M69" s="14" t="str">
        <f>IF(OR(A69="",COUNTIF(Components!$A$8:$A$107,A69)&lt;&gt;1),"",IF(VLOOKUP(A69,Components!$A$8:$S$107,12,FALSE)="","",VLOOKUP(A69,Components!$A$8:$S$107,12,FALSE)))</f>
        <v/>
      </c>
      <c r="N69" s="15" t="str">
        <f>IF(OR(A69="",COUNTIF(Components!$A$8:$A$107,A69)&lt;&gt;1),"",IF(VLOOKUP(A69,Components!$A$8:$S$107,13,FALSE)="","",VLOOKUP(A69,Components!$A$8:$S$107,13,FALSE)))</f>
        <v/>
      </c>
      <c r="O69" s="15" t="str">
        <f t="shared" si="7"/>
        <v/>
      </c>
      <c r="P69" s="1" t="str">
        <f>IF(OR(A69="",COUNTIF(Components!$A$8:$A$107,A69)&lt;&gt;1),"",IF(VLOOKUP(A69,Components!$A$8:$S$107,14,FALSE)="","",VLOOKUP(A69,Components!$A$8:$S$107,14,FALSE)))</f>
        <v/>
      </c>
      <c r="Q69" s="14" t="str">
        <f>IF(OR(A69="",COUNTIF(Components!$A$8:$A$107,A69)&lt;&gt;1),"",IF(VLOOKUP(A69,Components!$A$8:$S$107,15,FALSE)="","",VLOOKUP(A69,Components!$A$8:$S$107,15,FALSE)))</f>
        <v/>
      </c>
      <c r="R69" s="14" t="str">
        <f>IF(OR(A69="",COUNTIF(Components!$A$8:$A$107,A69)&lt;&gt;1),"",IF(VLOOKUP(A69,Components!$A$8:$S$107,16,FALSE)="","",VLOOKUP(A69,Components!$A$8:$S$107,16,FALSE)))</f>
        <v/>
      </c>
      <c r="S69" s="14" t="str">
        <f>IF(OR(A69="",COUNTIF(Components!$A$8:$A$107,A69)&lt;&gt;1),"",IF(VLOOKUP(A69,Components!$A$8:$S$107,17,FALSE)="","",VLOOKUP(A69,Components!$A$8:$S$107,17,FALSE)))</f>
        <v/>
      </c>
      <c r="T69" s="15" t="str">
        <f>IF(OR(A69="",COUNTIF(Components!$A$8:$A$107,A69)&lt;&gt;1),"",IF(VLOOKUP(A69,Components!$A$8:$S$107,18,FALSE)="","",VLOOKUP(A69,Components!$A$8:$S$107,18,FALSE)))</f>
        <v/>
      </c>
      <c r="U69" s="15" t="str">
        <f t="shared" si="8"/>
        <v/>
      </c>
    </row>
    <row r="70" spans="1:21" ht="48" customHeight="1">
      <c r="A70" s="4"/>
      <c r="B70" s="11"/>
      <c r="C70" s="6" t="str">
        <f>IF(A70="","",IF(COUNTIF(Components!$A$8:$A$107,A70)&lt;&gt;1,"Pending",VLOOKUP(A70,Components!$A$8:$F$107,5,FALSE)))</f>
        <v/>
      </c>
      <c r="D70" s="5"/>
      <c r="E70" s="6" t="str">
        <f t="shared" si="5"/>
        <v/>
      </c>
      <c r="F70" s="6" t="str">
        <f t="shared" si="6"/>
        <v/>
      </c>
      <c r="G70" s="1" t="str">
        <f>IF(A70="",IF(OR(NOT(ISBLANK(B70)),NOT(ISBLANK(D70))),"Needs component",""),IF(COUNTIF(Components!$A$8:$A$107,A70)&lt;&gt;1,"Invalid component",IF(ISBLANK(B70),"Needs quantity",IF(NOT(ISNUMBER(B70)),"Invalid quantity",IF(OR(B70&lt;0,B70&lt;&gt;INT(B70)),"Invalid quantity",IF(NOT(ISNUMBER(E70)),"Needs heat input",IF(NOT(ISBLANK(D70)),"Override used","Catalog basis")))))))</f>
        <v/>
      </c>
      <c r="H70" s="1"/>
      <c r="I70" s="12" t="str">
        <f>IF(A70="","",IF(COUNTIF(Components!$A$8:$A$107,A70)&lt;&gt;1,"Select a unique catalog component",VLOOKUP(A70,Components!$A$8:$F$107,6,FALSE)))</f>
        <v/>
      </c>
      <c r="J70" s="1" t="str">
        <f>IF(OR(A70="",COUNTIF(Components!$A$8:$A$107,A70)&lt;&gt;1),"",IF(VLOOKUP(A70,Components!$A$8:$S$107,9,FALSE)="","",VLOOKUP(A70,Components!$A$8:$S$107,9,FALSE)))</f>
        <v/>
      </c>
      <c r="K70" s="14" t="str">
        <f>IF(OR(A70="",COUNTIF(Components!$A$8:$A$107,A70)&lt;&gt;1),"",IF(VLOOKUP(A70,Components!$A$8:$S$107,10,FALSE)="","",VLOOKUP(A70,Components!$A$8:$S$107,10,FALSE)))</f>
        <v/>
      </c>
      <c r="L70" s="14" t="str">
        <f>IF(OR(A70="",COUNTIF(Components!$A$8:$A$107,A70)&lt;&gt;1),"",IF(VLOOKUP(A70,Components!$A$8:$S$107,11,FALSE)="","",VLOOKUP(A70,Components!$A$8:$S$107,11,FALSE)))</f>
        <v/>
      </c>
      <c r="M70" s="14" t="str">
        <f>IF(OR(A70="",COUNTIF(Components!$A$8:$A$107,A70)&lt;&gt;1),"",IF(VLOOKUP(A70,Components!$A$8:$S$107,12,FALSE)="","",VLOOKUP(A70,Components!$A$8:$S$107,12,FALSE)))</f>
        <v/>
      </c>
      <c r="N70" s="15" t="str">
        <f>IF(OR(A70="",COUNTIF(Components!$A$8:$A$107,A70)&lt;&gt;1),"",IF(VLOOKUP(A70,Components!$A$8:$S$107,13,FALSE)="","",VLOOKUP(A70,Components!$A$8:$S$107,13,FALSE)))</f>
        <v/>
      </c>
      <c r="O70" s="15" t="str">
        <f t="shared" si="7"/>
        <v/>
      </c>
      <c r="P70" s="1" t="str">
        <f>IF(OR(A70="",COUNTIF(Components!$A$8:$A$107,A70)&lt;&gt;1),"",IF(VLOOKUP(A70,Components!$A$8:$S$107,14,FALSE)="","",VLOOKUP(A70,Components!$A$8:$S$107,14,FALSE)))</f>
        <v/>
      </c>
      <c r="Q70" s="14" t="str">
        <f>IF(OR(A70="",COUNTIF(Components!$A$8:$A$107,A70)&lt;&gt;1),"",IF(VLOOKUP(A70,Components!$A$8:$S$107,15,FALSE)="","",VLOOKUP(A70,Components!$A$8:$S$107,15,FALSE)))</f>
        <v/>
      </c>
      <c r="R70" s="14" t="str">
        <f>IF(OR(A70="",COUNTIF(Components!$A$8:$A$107,A70)&lt;&gt;1),"",IF(VLOOKUP(A70,Components!$A$8:$S$107,16,FALSE)="","",VLOOKUP(A70,Components!$A$8:$S$107,16,FALSE)))</f>
        <v/>
      </c>
      <c r="S70" s="14" t="str">
        <f>IF(OR(A70="",COUNTIF(Components!$A$8:$A$107,A70)&lt;&gt;1),"",IF(VLOOKUP(A70,Components!$A$8:$S$107,17,FALSE)="","",VLOOKUP(A70,Components!$A$8:$S$107,17,FALSE)))</f>
        <v/>
      </c>
      <c r="T70" s="15" t="str">
        <f>IF(OR(A70="",COUNTIF(Components!$A$8:$A$107,A70)&lt;&gt;1),"",IF(VLOOKUP(A70,Components!$A$8:$S$107,18,FALSE)="","",VLOOKUP(A70,Components!$A$8:$S$107,18,FALSE)))</f>
        <v/>
      </c>
      <c r="U70" s="15" t="str">
        <f t="shared" si="8"/>
        <v/>
      </c>
    </row>
  </sheetData>
  <conditionalFormatting sqref="G11:G70">
    <cfRule type="containsText" dxfId="0" priority="1" operator="containsText" text="Needs"/>
  </conditionalFormatting>
  <dataValidations count="3">
    <dataValidation type="list" sqref="A11:A70" xr:uid="{00000000-0002-0000-0000-000000000000}">
      <formula1>INDIRECT("'Components'!$A$8:$A$107")</formula1>
    </dataValidation>
    <dataValidation type="whole" sqref="B11:B70" xr:uid="{00000000-0002-0000-0000-000001000000}">
      <formula1>0</formula1>
      <formula2>100000</formula2>
    </dataValidation>
    <dataValidation type="decimal" operator="greaterThanOrEqual" sqref="D11:D70" xr:uid="{00000000-0002-0000-0000-000002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C59"/>
  </sheetPr>
  <dimension ref="A1:S10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C28" sqref="C28"/>
    </sheetView>
  </sheetViews>
  <sheetFormatPr defaultRowHeight="14"/>
  <cols>
    <col min="1" max="1" width="38" customWidth="1"/>
    <col min="2" max="4" width="15" customWidth="1"/>
    <col min="5" max="5" width="17" customWidth="1"/>
    <col min="6" max="6" width="68" customWidth="1"/>
    <col min="7" max="7" width="3" customWidth="1"/>
    <col min="8" max="8" width="65" customWidth="1"/>
    <col min="9" max="9" width="13" customWidth="1"/>
    <col min="10" max="10" width="10" customWidth="1"/>
    <col min="11" max="11" width="13" customWidth="1"/>
    <col min="12" max="12" width="10" customWidth="1"/>
    <col min="13" max="13" width="11" customWidth="1"/>
    <col min="14" max="14" width="13" customWidth="1"/>
    <col min="15" max="15" width="10" customWidth="1"/>
    <col min="16" max="16" width="13" customWidth="1"/>
    <col min="17" max="17" width="10" customWidth="1"/>
    <col min="18" max="18" width="11" customWidth="1"/>
    <col min="19" max="19" width="70" customWidth="1"/>
  </cols>
  <sheetData>
    <row r="1" spans="1:19" ht="23.15" customHeight="1">
      <c r="A1" s="1"/>
      <c r="B1" s="1"/>
      <c r="C1" s="1"/>
      <c r="D1" s="1"/>
      <c r="E1" s="1"/>
      <c r="F1" s="1"/>
      <c r="G1" s="1"/>
      <c r="H1" s="1"/>
    </row>
    <row r="2" spans="1:19" ht="23.15" customHeight="1">
      <c r="A2" s="2" t="s">
        <v>46</v>
      </c>
      <c r="B2" s="1"/>
      <c r="C2" s="1"/>
      <c r="D2" s="1"/>
      <c r="E2" s="1"/>
      <c r="F2" s="1"/>
      <c r="G2" s="1"/>
      <c r="H2" s="1"/>
    </row>
    <row r="3" spans="1:19" ht="23.15" customHeight="1">
      <c r="A3" s="1" t="s">
        <v>47</v>
      </c>
      <c r="B3" s="1"/>
      <c r="C3" s="1"/>
      <c r="D3" s="1"/>
      <c r="E3" s="1"/>
      <c r="F3" s="1"/>
      <c r="G3" s="1"/>
      <c r="H3" s="1"/>
    </row>
    <row r="4" spans="1:19" ht="23.15" customHeight="1">
      <c r="A4" s="1" t="s">
        <v>48</v>
      </c>
      <c r="B4" s="1"/>
      <c r="C4" s="1"/>
      <c r="D4" s="1"/>
      <c r="E4" s="1"/>
      <c r="F4" s="1"/>
      <c r="G4" s="1"/>
      <c r="H4" s="1"/>
    </row>
    <row r="5" spans="1:19" ht="23.15" customHeight="1">
      <c r="A5" s="1" t="s">
        <v>49</v>
      </c>
      <c r="B5" s="1"/>
      <c r="C5" s="1"/>
      <c r="D5" s="1"/>
      <c r="E5" s="1"/>
      <c r="F5" s="1"/>
      <c r="G5" s="1"/>
      <c r="H5" s="1"/>
    </row>
    <row r="6" spans="1:19" ht="23.15" customHeight="1">
      <c r="A6" s="1"/>
      <c r="B6" s="1"/>
      <c r="C6" s="1"/>
      <c r="D6" s="1"/>
      <c r="E6" s="1"/>
      <c r="F6" s="1"/>
      <c r="G6" s="1"/>
      <c r="H6" s="1"/>
    </row>
    <row r="7" spans="1:19" ht="34" customHeight="1">
      <c r="A7" s="3" t="s">
        <v>23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1"/>
      <c r="H7" s="3" t="s">
        <v>55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56</v>
      </c>
      <c r="N7" s="3" t="s">
        <v>37</v>
      </c>
      <c r="O7" s="3" t="s">
        <v>38</v>
      </c>
      <c r="P7" s="3" t="s">
        <v>39</v>
      </c>
      <c r="Q7" s="3" t="s">
        <v>40</v>
      </c>
      <c r="R7" s="3" t="s">
        <v>57</v>
      </c>
      <c r="S7" s="3" t="s">
        <v>58</v>
      </c>
    </row>
    <row r="8" spans="1:19" ht="57" customHeight="1">
      <c r="A8" s="4" t="s">
        <v>59</v>
      </c>
      <c r="B8" s="5">
        <v>5.16</v>
      </c>
      <c r="C8" s="5">
        <v>0</v>
      </c>
      <c r="D8" s="7">
        <v>0.108749</v>
      </c>
      <c r="E8" s="6">
        <f t="shared" ref="E8:E39" si="0">IF(A8="","",IF(COUNT(B8:D8)&lt;3,"Pending",B8+C8*D8))</f>
        <v>5.16</v>
      </c>
      <c r="F8" s="8" t="s">
        <v>60</v>
      </c>
      <c r="G8" s="1"/>
      <c r="H8" s="8" t="s">
        <v>61</v>
      </c>
      <c r="I8" s="4" t="s">
        <v>9</v>
      </c>
      <c r="J8" s="16">
        <v>11.5</v>
      </c>
      <c r="K8" s="16">
        <v>12</v>
      </c>
      <c r="L8" s="16">
        <v>12.5</v>
      </c>
      <c r="M8" s="17">
        <v>0.43</v>
      </c>
      <c r="N8" s="4"/>
      <c r="O8" s="16"/>
      <c r="P8" s="16"/>
      <c r="Q8" s="16"/>
      <c r="R8" s="17"/>
      <c r="S8" s="8" t="s">
        <v>62</v>
      </c>
    </row>
    <row r="9" spans="1:19" ht="57" customHeight="1">
      <c r="A9" s="4" t="s">
        <v>63</v>
      </c>
      <c r="B9" s="5">
        <v>0</v>
      </c>
      <c r="C9" s="5">
        <v>0</v>
      </c>
      <c r="D9" s="7">
        <v>0.108749</v>
      </c>
      <c r="E9" s="6">
        <f t="shared" si="0"/>
        <v>0</v>
      </c>
      <c r="F9" s="8" t="s">
        <v>64</v>
      </c>
      <c r="G9" s="1"/>
      <c r="H9" s="8" t="s">
        <v>65</v>
      </c>
      <c r="I9" s="4" t="s">
        <v>9</v>
      </c>
      <c r="J9" s="16">
        <v>11.5</v>
      </c>
      <c r="K9" s="16">
        <v>12</v>
      </c>
      <c r="L9" s="16">
        <v>12.5</v>
      </c>
      <c r="M9" s="17">
        <v>0</v>
      </c>
      <c r="N9" s="4"/>
      <c r="O9" s="16"/>
      <c r="P9" s="16"/>
      <c r="Q9" s="16"/>
      <c r="R9" s="17"/>
      <c r="S9" s="8" t="s">
        <v>66</v>
      </c>
    </row>
    <row r="10" spans="1:19" ht="57" customHeight="1">
      <c r="A10" s="4" t="s">
        <v>67</v>
      </c>
      <c r="B10" s="5">
        <v>1.575</v>
      </c>
      <c r="C10" s="5">
        <v>0</v>
      </c>
      <c r="D10" s="7">
        <v>0</v>
      </c>
      <c r="E10" s="6">
        <f t="shared" si="0"/>
        <v>1.575</v>
      </c>
      <c r="F10" s="8" t="s">
        <v>68</v>
      </c>
      <c r="G10" s="1"/>
      <c r="H10" s="8" t="s">
        <v>69</v>
      </c>
      <c r="I10" s="4" t="s">
        <v>10</v>
      </c>
      <c r="J10" s="16"/>
      <c r="K10" s="16">
        <v>15</v>
      </c>
      <c r="L10" s="16">
        <v>17</v>
      </c>
      <c r="M10" s="17">
        <v>0.105</v>
      </c>
      <c r="N10" s="4"/>
      <c r="O10" s="16"/>
      <c r="P10" s="16"/>
      <c r="Q10" s="16"/>
      <c r="R10" s="17"/>
      <c r="S10" s="8" t="s">
        <v>70</v>
      </c>
    </row>
    <row r="11" spans="1:19" ht="57" customHeight="1">
      <c r="A11" s="4" t="s">
        <v>71</v>
      </c>
      <c r="B11" s="5">
        <v>0.75</v>
      </c>
      <c r="C11" s="5">
        <v>0</v>
      </c>
      <c r="D11" s="7">
        <v>0</v>
      </c>
      <c r="E11" s="6">
        <f t="shared" si="0"/>
        <v>0.75</v>
      </c>
      <c r="F11" s="8" t="s">
        <v>72</v>
      </c>
      <c r="G11" s="1"/>
      <c r="H11" s="8" t="s">
        <v>73</v>
      </c>
      <c r="I11" s="4" t="s">
        <v>8</v>
      </c>
      <c r="J11" s="16"/>
      <c r="K11" s="16">
        <v>5</v>
      </c>
      <c r="L11" s="16">
        <v>6</v>
      </c>
      <c r="M11" s="17">
        <v>0.15</v>
      </c>
      <c r="N11" s="4"/>
      <c r="O11" s="16"/>
      <c r="P11" s="16"/>
      <c r="Q11" s="16"/>
      <c r="R11" s="17"/>
      <c r="S11" s="8" t="s">
        <v>74</v>
      </c>
    </row>
    <row r="12" spans="1:19" ht="57" customHeight="1">
      <c r="A12" s="4" t="s">
        <v>75</v>
      </c>
      <c r="B12" s="5">
        <v>1.0944000000000001E-2</v>
      </c>
      <c r="C12" s="5">
        <v>0.25118864320000001</v>
      </c>
      <c r="D12" s="7">
        <v>1</v>
      </c>
      <c r="E12" s="6">
        <f t="shared" si="0"/>
        <v>0.26213264320000002</v>
      </c>
      <c r="F12" s="8" t="s">
        <v>76</v>
      </c>
      <c r="G12" s="1"/>
      <c r="H12" s="8" t="s">
        <v>77</v>
      </c>
      <c r="I12" s="4" t="s">
        <v>6</v>
      </c>
      <c r="J12" s="16">
        <v>2.7</v>
      </c>
      <c r="K12" s="16">
        <v>3</v>
      </c>
      <c r="L12" s="16">
        <v>3.6</v>
      </c>
      <c r="M12" s="17">
        <v>3.0000000000000001E-3</v>
      </c>
      <c r="N12" s="4" t="s">
        <v>13</v>
      </c>
      <c r="O12" s="16">
        <v>-3.6</v>
      </c>
      <c r="P12" s="16">
        <v>-3.3</v>
      </c>
      <c r="Q12" s="16">
        <v>-3.2</v>
      </c>
      <c r="R12" s="17">
        <v>4.0000000000000003E-5</v>
      </c>
      <c r="S12" s="8" t="s">
        <v>78</v>
      </c>
    </row>
    <row r="13" spans="1:19" ht="57" customHeight="1">
      <c r="A13" s="4" t="s">
        <v>43</v>
      </c>
      <c r="B13" s="5">
        <v>1.125</v>
      </c>
      <c r="C13" s="5">
        <v>0</v>
      </c>
      <c r="D13" s="7">
        <v>0</v>
      </c>
      <c r="E13" s="6">
        <f t="shared" si="0"/>
        <v>1.125</v>
      </c>
      <c r="F13" s="8" t="s">
        <v>79</v>
      </c>
      <c r="G13" s="1"/>
      <c r="H13" s="8" t="s">
        <v>80</v>
      </c>
      <c r="I13" s="4" t="s">
        <v>8</v>
      </c>
      <c r="J13" s="16">
        <v>4.75</v>
      </c>
      <c r="K13" s="16">
        <v>5</v>
      </c>
      <c r="L13" s="16">
        <v>5.25</v>
      </c>
      <c r="M13" s="17">
        <v>0.2</v>
      </c>
      <c r="N13" s="4" t="s">
        <v>14</v>
      </c>
      <c r="O13" s="16">
        <v>-5.25</v>
      </c>
      <c r="P13" s="16">
        <v>-5</v>
      </c>
      <c r="Q13" s="16">
        <v>-4.75</v>
      </c>
      <c r="R13" s="17">
        <v>2.5000000000000001E-2</v>
      </c>
      <c r="S13" s="8" t="s">
        <v>81</v>
      </c>
    </row>
    <row r="14" spans="1:19" ht="57" customHeight="1">
      <c r="A14" s="4" t="s">
        <v>82</v>
      </c>
      <c r="B14" s="5">
        <v>0</v>
      </c>
      <c r="C14" s="5">
        <v>1</v>
      </c>
      <c r="D14" s="7">
        <v>1</v>
      </c>
      <c r="E14" s="6">
        <f t="shared" si="0"/>
        <v>1</v>
      </c>
      <c r="F14" s="8" t="s">
        <v>83</v>
      </c>
      <c r="G14" s="1"/>
      <c r="H14" s="8" t="s">
        <v>84</v>
      </c>
      <c r="I14" s="4" t="s">
        <v>85</v>
      </c>
      <c r="J14" s="16"/>
      <c r="K14" s="16"/>
      <c r="L14" s="16"/>
      <c r="M14" s="17"/>
      <c r="N14" s="4"/>
      <c r="O14" s="16"/>
      <c r="P14" s="16"/>
      <c r="Q14" s="16"/>
      <c r="R14" s="17"/>
      <c r="S14" s="8" t="s">
        <v>86</v>
      </c>
    </row>
    <row r="15" spans="1:19" ht="57" customHeight="1">
      <c r="A15" s="4" t="s">
        <v>87</v>
      </c>
      <c r="B15" s="5">
        <v>0</v>
      </c>
      <c r="C15" s="5">
        <v>1</v>
      </c>
      <c r="D15" s="7">
        <v>0.18716948383590071</v>
      </c>
      <c r="E15" s="6">
        <f t="shared" si="0"/>
        <v>0.18716948383590071</v>
      </c>
      <c r="F15" s="8" t="s">
        <v>88</v>
      </c>
      <c r="G15" s="1"/>
      <c r="H15" s="8" t="s">
        <v>89</v>
      </c>
      <c r="I15" s="4" t="s">
        <v>85</v>
      </c>
      <c r="J15" s="16"/>
      <c r="K15" s="16"/>
      <c r="L15" s="16"/>
      <c r="M15" s="17"/>
      <c r="N15" s="4"/>
      <c r="O15" s="16"/>
      <c r="P15" s="16"/>
      <c r="Q15" s="16"/>
      <c r="R15" s="17"/>
      <c r="S15" s="8" t="s">
        <v>86</v>
      </c>
    </row>
    <row r="16" spans="1:19" ht="57" customHeight="1">
      <c r="A16" s="4" t="s">
        <v>90</v>
      </c>
      <c r="B16" s="5">
        <v>0</v>
      </c>
      <c r="C16" s="5">
        <v>1</v>
      </c>
      <c r="D16" s="7">
        <v>0.20567176527571851</v>
      </c>
      <c r="E16" s="6">
        <f t="shared" si="0"/>
        <v>0.20567176527571851</v>
      </c>
      <c r="F16" s="8" t="s">
        <v>91</v>
      </c>
      <c r="G16" s="1"/>
      <c r="H16" s="8" t="s">
        <v>92</v>
      </c>
      <c r="I16" s="4" t="s">
        <v>85</v>
      </c>
      <c r="J16" s="16"/>
      <c r="K16" s="16"/>
      <c r="L16" s="16"/>
      <c r="M16" s="17"/>
      <c r="N16" s="4"/>
      <c r="O16" s="16"/>
      <c r="P16" s="16"/>
      <c r="Q16" s="16"/>
      <c r="R16" s="17"/>
      <c r="S16" s="8" t="s">
        <v>86</v>
      </c>
    </row>
    <row r="17" spans="1:19" ht="57" customHeight="1">
      <c r="A17" s="4" t="s">
        <v>93</v>
      </c>
      <c r="B17" s="5">
        <v>0</v>
      </c>
      <c r="C17" s="5">
        <v>1</v>
      </c>
      <c r="D17" s="7">
        <v>0.27556403992500988</v>
      </c>
      <c r="E17" s="6">
        <f t="shared" si="0"/>
        <v>0.27556403992500988</v>
      </c>
      <c r="F17" s="8" t="s">
        <v>94</v>
      </c>
      <c r="G17" s="1"/>
      <c r="H17" s="8" t="s">
        <v>95</v>
      </c>
      <c r="I17" s="4" t="s">
        <v>85</v>
      </c>
      <c r="J17" s="16"/>
      <c r="K17" s="16"/>
      <c r="L17" s="16"/>
      <c r="M17" s="17"/>
      <c r="N17" s="4"/>
      <c r="O17" s="16"/>
      <c r="P17" s="16"/>
      <c r="Q17" s="16"/>
      <c r="R17" s="17"/>
      <c r="S17" s="8" t="s">
        <v>86</v>
      </c>
    </row>
    <row r="18" spans="1:19" ht="57" customHeight="1">
      <c r="A18" s="4" t="s">
        <v>96</v>
      </c>
      <c r="B18" s="5">
        <v>0</v>
      </c>
      <c r="C18" s="5">
        <v>1</v>
      </c>
      <c r="D18" s="7">
        <v>0.55225577228633216</v>
      </c>
      <c r="E18" s="6">
        <f t="shared" si="0"/>
        <v>0.55225577228633216</v>
      </c>
      <c r="F18" s="8" t="s">
        <v>97</v>
      </c>
      <c r="G18" s="1"/>
      <c r="H18" s="8" t="s">
        <v>98</v>
      </c>
      <c r="I18" s="4" t="s">
        <v>85</v>
      </c>
      <c r="J18" s="16"/>
      <c r="K18" s="16"/>
      <c r="L18" s="16"/>
      <c r="M18" s="17"/>
      <c r="N18" s="4"/>
      <c r="O18" s="16"/>
      <c r="P18" s="16"/>
      <c r="Q18" s="16"/>
      <c r="R18" s="17"/>
      <c r="S18" s="8" t="s">
        <v>86</v>
      </c>
    </row>
    <row r="19" spans="1:19" ht="57" customHeight="1">
      <c r="A19" s="4" t="s">
        <v>99</v>
      </c>
      <c r="B19" s="5">
        <v>0</v>
      </c>
      <c r="C19" s="5">
        <v>1</v>
      </c>
      <c r="D19" s="7">
        <v>0.1087490618662544</v>
      </c>
      <c r="E19" s="6">
        <f t="shared" si="0"/>
        <v>0.1087490618662544</v>
      </c>
      <c r="F19" s="8" t="s">
        <v>100</v>
      </c>
      <c r="G19" s="1"/>
      <c r="H19" s="8" t="s">
        <v>101</v>
      </c>
      <c r="I19" s="4" t="s">
        <v>85</v>
      </c>
      <c r="J19" s="16"/>
      <c r="K19" s="16"/>
      <c r="L19" s="16"/>
      <c r="M19" s="17"/>
      <c r="N19" s="4"/>
      <c r="O19" s="16"/>
      <c r="P19" s="16"/>
      <c r="Q19" s="16"/>
      <c r="R19" s="17"/>
      <c r="S19" s="8" t="s">
        <v>86</v>
      </c>
    </row>
    <row r="20" spans="1:19" ht="57" customHeight="1">
      <c r="A20" s="4" t="s">
        <v>102</v>
      </c>
      <c r="B20" s="5">
        <v>0</v>
      </c>
      <c r="C20" s="5">
        <v>1</v>
      </c>
      <c r="D20" s="7">
        <v>4.7203835976348141E-2</v>
      </c>
      <c r="E20" s="6">
        <f t="shared" si="0"/>
        <v>4.7203835976348141E-2</v>
      </c>
      <c r="F20" s="8" t="s">
        <v>103</v>
      </c>
      <c r="G20" s="1"/>
      <c r="H20" s="8" t="s">
        <v>104</v>
      </c>
      <c r="I20" s="4" t="s">
        <v>85</v>
      </c>
      <c r="J20" s="16"/>
      <c r="K20" s="16"/>
      <c r="L20" s="16"/>
      <c r="M20" s="17"/>
      <c r="N20" s="4"/>
      <c r="O20" s="16"/>
      <c r="P20" s="16"/>
      <c r="Q20" s="16"/>
      <c r="R20" s="17"/>
      <c r="S20" s="8" t="s">
        <v>86</v>
      </c>
    </row>
    <row r="21" spans="1:19" ht="57" customHeight="1">
      <c r="A21" s="4" t="s">
        <v>105</v>
      </c>
      <c r="B21" s="5">
        <v>0</v>
      </c>
      <c r="C21" s="5">
        <v>8</v>
      </c>
      <c r="D21" s="7">
        <v>8.7989160644090236E-2</v>
      </c>
      <c r="E21" s="6">
        <f t="shared" si="0"/>
        <v>0.70391328515272189</v>
      </c>
      <c r="F21" s="8" t="s">
        <v>106</v>
      </c>
      <c r="G21" s="1"/>
      <c r="H21" s="8" t="s">
        <v>107</v>
      </c>
      <c r="I21" s="4" t="s">
        <v>85</v>
      </c>
      <c r="J21" s="16"/>
      <c r="K21" s="16"/>
      <c r="L21" s="16"/>
      <c r="M21" s="17"/>
      <c r="N21" s="4"/>
      <c r="O21" s="16"/>
      <c r="P21" s="16"/>
      <c r="Q21" s="16"/>
      <c r="R21" s="17"/>
      <c r="S21" s="8" t="s">
        <v>86</v>
      </c>
    </row>
    <row r="22" spans="1:19" ht="57" customHeight="1">
      <c r="A22" s="4" t="s">
        <v>108</v>
      </c>
      <c r="B22" s="5">
        <v>0</v>
      </c>
      <c r="C22" s="5">
        <v>8</v>
      </c>
      <c r="D22" s="7">
        <v>0.20567176527571851</v>
      </c>
      <c r="E22" s="6">
        <f t="shared" si="0"/>
        <v>1.6453741222057481</v>
      </c>
      <c r="F22" s="8" t="s">
        <v>109</v>
      </c>
      <c r="G22" s="1"/>
      <c r="H22" s="8" t="s">
        <v>107</v>
      </c>
      <c r="I22" s="4" t="s">
        <v>85</v>
      </c>
      <c r="J22" s="16"/>
      <c r="K22" s="16"/>
      <c r="L22" s="16"/>
      <c r="M22" s="17"/>
      <c r="N22" s="4"/>
      <c r="O22" s="16"/>
      <c r="P22" s="16"/>
      <c r="Q22" s="16"/>
      <c r="R22" s="17"/>
      <c r="S22" s="8" t="s">
        <v>86</v>
      </c>
    </row>
    <row r="23" spans="1:19" ht="57" customHeight="1">
      <c r="A23" s="4" t="s">
        <v>110</v>
      </c>
      <c r="B23" s="5">
        <v>0</v>
      </c>
      <c r="C23" s="5">
        <v>10</v>
      </c>
      <c r="D23" s="7">
        <v>8.7989160644090236E-2</v>
      </c>
      <c r="E23" s="6">
        <f t="shared" si="0"/>
        <v>0.87989160644090236</v>
      </c>
      <c r="F23" s="8" t="s">
        <v>111</v>
      </c>
      <c r="G23" s="1"/>
      <c r="H23" s="8" t="s">
        <v>112</v>
      </c>
      <c r="I23" s="4" t="s">
        <v>85</v>
      </c>
      <c r="J23" s="16"/>
      <c r="K23" s="16"/>
      <c r="L23" s="16"/>
      <c r="M23" s="17"/>
      <c r="N23" s="4"/>
      <c r="O23" s="16"/>
      <c r="P23" s="16"/>
      <c r="Q23" s="16"/>
      <c r="R23" s="17"/>
      <c r="S23" s="8" t="s">
        <v>86</v>
      </c>
    </row>
    <row r="24" spans="1:19" ht="57" customHeight="1">
      <c r="A24" s="4" t="s">
        <v>113</v>
      </c>
      <c r="B24" s="5">
        <v>0</v>
      </c>
      <c r="C24" s="5">
        <v>10</v>
      </c>
      <c r="D24" s="7">
        <v>0.1290364100439193</v>
      </c>
      <c r="E24" s="6">
        <f t="shared" si="0"/>
        <v>1.290364100439193</v>
      </c>
      <c r="F24" s="8" t="s">
        <v>114</v>
      </c>
      <c r="G24" s="1"/>
      <c r="H24" s="8" t="s">
        <v>115</v>
      </c>
      <c r="I24" s="4" t="s">
        <v>85</v>
      </c>
      <c r="J24" s="16"/>
      <c r="K24" s="16"/>
      <c r="L24" s="16"/>
      <c r="M24" s="17"/>
      <c r="N24" s="4"/>
      <c r="O24" s="16"/>
      <c r="P24" s="16"/>
      <c r="Q24" s="16"/>
      <c r="R24" s="17"/>
      <c r="S24" s="8" t="s">
        <v>86</v>
      </c>
    </row>
    <row r="25" spans="1:19" ht="57" customHeight="1">
      <c r="A25" s="4" t="s">
        <v>116</v>
      </c>
      <c r="B25" s="5">
        <v>0</v>
      </c>
      <c r="C25" s="5">
        <v>10</v>
      </c>
      <c r="D25" s="7">
        <v>0.25868975869908251</v>
      </c>
      <c r="E25" s="6">
        <f t="shared" si="0"/>
        <v>2.5868975869908253</v>
      </c>
      <c r="F25" s="8" t="s">
        <v>117</v>
      </c>
      <c r="G25" s="1"/>
      <c r="H25" s="8" t="s">
        <v>118</v>
      </c>
      <c r="I25" s="4" t="s">
        <v>85</v>
      </c>
      <c r="J25" s="16"/>
      <c r="K25" s="16"/>
      <c r="L25" s="16"/>
      <c r="M25" s="17"/>
      <c r="N25" s="4"/>
      <c r="O25" s="16"/>
      <c r="P25" s="16"/>
      <c r="Q25" s="16"/>
      <c r="R25" s="17"/>
      <c r="S25" s="8" t="s">
        <v>86</v>
      </c>
    </row>
    <row r="26" spans="1:19" ht="57" customHeight="1">
      <c r="A26" s="4" t="s">
        <v>119</v>
      </c>
      <c r="B26" s="5">
        <v>0</v>
      </c>
      <c r="C26" s="5">
        <v>20</v>
      </c>
      <c r="D26" s="7">
        <v>7.7428572845236854E-2</v>
      </c>
      <c r="E26" s="6">
        <f t="shared" si="0"/>
        <v>1.5485714569047371</v>
      </c>
      <c r="F26" s="8" t="s">
        <v>120</v>
      </c>
      <c r="G26" s="1"/>
      <c r="H26" s="8" t="s">
        <v>121</v>
      </c>
      <c r="I26" s="4" t="s">
        <v>85</v>
      </c>
      <c r="J26" s="16"/>
      <c r="K26" s="16"/>
      <c r="L26" s="16"/>
      <c r="M26" s="17"/>
      <c r="N26" s="4"/>
      <c r="O26" s="16"/>
      <c r="P26" s="16"/>
      <c r="Q26" s="16"/>
      <c r="R26" s="17"/>
      <c r="S26" s="8" t="s">
        <v>86</v>
      </c>
    </row>
    <row r="27" spans="1:19" ht="57" customHeight="1">
      <c r="A27" s="4" t="s">
        <v>122</v>
      </c>
      <c r="B27" s="5">
        <v>0</v>
      </c>
      <c r="C27" s="5">
        <v>2</v>
      </c>
      <c r="D27" s="7">
        <v>0.96858840516803202</v>
      </c>
      <c r="E27" s="6">
        <f t="shared" si="0"/>
        <v>1.937176810336064</v>
      </c>
      <c r="F27" s="8" t="s">
        <v>123</v>
      </c>
      <c r="G27" s="1"/>
      <c r="H27" s="8" t="s">
        <v>124</v>
      </c>
      <c r="I27" s="4" t="s">
        <v>85</v>
      </c>
      <c r="J27" s="16"/>
      <c r="K27" s="16"/>
      <c r="L27" s="16"/>
      <c r="M27" s="17"/>
      <c r="N27" s="4"/>
      <c r="O27" s="16"/>
      <c r="P27" s="16"/>
      <c r="Q27" s="16"/>
      <c r="R27" s="17"/>
      <c r="S27" s="8" t="s">
        <v>86</v>
      </c>
    </row>
    <row r="28" spans="1:19" ht="57" customHeight="1">
      <c r="A28" s="4" t="s">
        <v>125</v>
      </c>
      <c r="B28" s="5">
        <v>0</v>
      </c>
      <c r="C28" s="5">
        <v>0.6</v>
      </c>
      <c r="D28" s="7">
        <v>0.64434411799221536</v>
      </c>
      <c r="E28" s="6">
        <f t="shared" si="0"/>
        <v>0.38660647079532923</v>
      </c>
      <c r="F28" s="8" t="s">
        <v>126</v>
      </c>
      <c r="G28" s="1"/>
      <c r="H28" s="8" t="s">
        <v>127</v>
      </c>
      <c r="I28" s="4" t="s">
        <v>85</v>
      </c>
      <c r="J28" s="16"/>
      <c r="K28" s="16"/>
      <c r="L28" s="16"/>
      <c r="M28" s="17"/>
      <c r="N28" s="4"/>
      <c r="O28" s="16"/>
      <c r="P28" s="16"/>
      <c r="Q28" s="16"/>
      <c r="R28" s="17"/>
      <c r="S28" s="8" t="s">
        <v>86</v>
      </c>
    </row>
    <row r="29" spans="1:19" ht="57" customHeight="1">
      <c r="A29" s="4" t="s">
        <v>128</v>
      </c>
      <c r="B29" s="5">
        <v>0.01</v>
      </c>
      <c r="C29" s="5">
        <v>0.25118864315095801</v>
      </c>
      <c r="D29" s="7">
        <v>1</v>
      </c>
      <c r="E29" s="6">
        <f t="shared" si="0"/>
        <v>0.26118864315095802</v>
      </c>
      <c r="F29" s="8" t="s">
        <v>129</v>
      </c>
      <c r="G29" s="1"/>
      <c r="H29" s="8" t="s">
        <v>130</v>
      </c>
      <c r="I29" s="4" t="s">
        <v>8</v>
      </c>
      <c r="J29" s="16"/>
      <c r="K29" s="16">
        <v>5</v>
      </c>
      <c r="L29" s="16"/>
      <c r="M29" s="17">
        <v>2E-3</v>
      </c>
      <c r="N29" s="4"/>
      <c r="O29" s="16"/>
      <c r="P29" s="16"/>
      <c r="Q29" s="16"/>
      <c r="R29" s="17"/>
      <c r="S29" s="8" t="s">
        <v>131</v>
      </c>
    </row>
    <row r="30" spans="1:19" ht="57" customHeight="1">
      <c r="A30" s="4" t="s">
        <v>44</v>
      </c>
      <c r="B30" s="5">
        <v>0</v>
      </c>
      <c r="C30" s="5">
        <v>2</v>
      </c>
      <c r="D30" s="7">
        <v>0.16824</v>
      </c>
      <c r="E30" s="6">
        <f t="shared" si="0"/>
        <v>0.33648</v>
      </c>
      <c r="F30" s="8" t="s">
        <v>132</v>
      </c>
      <c r="G30" s="1"/>
      <c r="H30" s="8" t="s">
        <v>133</v>
      </c>
      <c r="I30" s="4" t="s">
        <v>85</v>
      </c>
      <c r="J30" s="16"/>
      <c r="K30" s="16"/>
      <c r="L30" s="16"/>
      <c r="M30" s="17"/>
      <c r="N30" s="4"/>
      <c r="O30" s="16"/>
      <c r="P30" s="16"/>
      <c r="Q30" s="16"/>
      <c r="R30" s="17"/>
      <c r="S30" s="8" t="s">
        <v>86</v>
      </c>
    </row>
    <row r="31" spans="1:19" ht="23.15" customHeight="1">
      <c r="A31" s="4" t="s">
        <v>45</v>
      </c>
      <c r="B31" s="5">
        <v>0</v>
      </c>
      <c r="C31" s="5">
        <v>1</v>
      </c>
      <c r="D31" s="7">
        <v>0.95991000000000004</v>
      </c>
      <c r="E31" s="6">
        <f t="shared" si="0"/>
        <v>0.95991000000000004</v>
      </c>
      <c r="F31" s="4" t="s">
        <v>134</v>
      </c>
      <c r="G31" s="1"/>
      <c r="H31" s="4" t="s">
        <v>135</v>
      </c>
      <c r="I31" s="4" t="s">
        <v>85</v>
      </c>
      <c r="J31" s="16"/>
      <c r="K31" s="16"/>
      <c r="L31" s="16"/>
      <c r="M31" s="17"/>
      <c r="N31" s="4"/>
      <c r="O31" s="16"/>
      <c r="P31" s="16"/>
      <c r="Q31" s="16"/>
      <c r="R31" s="17"/>
      <c r="S31" s="8" t="s">
        <v>86</v>
      </c>
    </row>
    <row r="32" spans="1:19" ht="23.15" customHeight="1">
      <c r="A32" s="4" t="s">
        <v>136</v>
      </c>
      <c r="B32" s="5">
        <v>1.482E-3</v>
      </c>
      <c r="C32" s="5">
        <v>0.1584893192461114</v>
      </c>
      <c r="D32" s="7">
        <v>1</v>
      </c>
      <c r="E32" s="6">
        <f t="shared" si="0"/>
        <v>0.15997131924611141</v>
      </c>
      <c r="F32" s="8" t="s">
        <v>137</v>
      </c>
      <c r="G32" s="1"/>
      <c r="H32" s="8" t="s">
        <v>138</v>
      </c>
      <c r="I32" s="4" t="s">
        <v>7</v>
      </c>
      <c r="J32" s="16">
        <v>2.33</v>
      </c>
      <c r="K32" s="16">
        <v>3.3</v>
      </c>
      <c r="L32" s="16">
        <v>5.4</v>
      </c>
      <c r="M32" s="17">
        <v>2.5000000000000001E-4</v>
      </c>
      <c r="N32" s="4" t="s">
        <v>12</v>
      </c>
      <c r="O32" s="16">
        <v>-3.3</v>
      </c>
      <c r="P32" s="16">
        <v>-3</v>
      </c>
      <c r="Q32" s="16">
        <v>-2.7</v>
      </c>
      <c r="R32" s="17">
        <v>4.0000000000000003E-5</v>
      </c>
      <c r="S32" s="8" t="s">
        <v>139</v>
      </c>
    </row>
    <row r="33" spans="1:19" ht="23.15" customHeight="1">
      <c r="A33" s="4" t="s">
        <v>140</v>
      </c>
      <c r="B33" s="5">
        <v>0</v>
      </c>
      <c r="C33" s="5">
        <v>10</v>
      </c>
      <c r="D33" s="7">
        <v>0.20567176527571851</v>
      </c>
      <c r="E33" s="6">
        <f t="shared" si="0"/>
        <v>2.0567176527571851</v>
      </c>
      <c r="F33" s="8" t="s">
        <v>141</v>
      </c>
      <c r="G33" s="1"/>
      <c r="H33" s="8" t="s">
        <v>142</v>
      </c>
      <c r="I33" s="4" t="s">
        <v>85</v>
      </c>
      <c r="J33" s="16"/>
      <c r="K33" s="16"/>
      <c r="L33" s="16"/>
      <c r="M33" s="17"/>
      <c r="N33" s="4"/>
      <c r="O33" s="16"/>
      <c r="P33" s="16"/>
      <c r="Q33" s="16"/>
      <c r="R33" s="17"/>
      <c r="S33" s="8" t="s">
        <v>86</v>
      </c>
    </row>
    <row r="34" spans="1:19" ht="23.15" customHeight="1">
      <c r="A34" s="4" t="s">
        <v>143</v>
      </c>
      <c r="B34" s="5">
        <v>0</v>
      </c>
      <c r="C34" s="5">
        <v>30</v>
      </c>
      <c r="D34" s="7">
        <v>0.2414224249708162</v>
      </c>
      <c r="E34" s="6">
        <f t="shared" si="0"/>
        <v>7.2426727491244858</v>
      </c>
      <c r="F34" s="8" t="s">
        <v>144</v>
      </c>
      <c r="G34" s="1"/>
      <c r="H34" s="8" t="s">
        <v>145</v>
      </c>
      <c r="I34" s="4" t="s">
        <v>85</v>
      </c>
      <c r="J34" s="16"/>
      <c r="K34" s="16"/>
      <c r="L34" s="16"/>
      <c r="M34" s="17"/>
      <c r="N34" s="4"/>
      <c r="O34" s="16"/>
      <c r="P34" s="16"/>
      <c r="Q34" s="16"/>
      <c r="R34" s="17"/>
      <c r="S34" s="8" t="s">
        <v>86</v>
      </c>
    </row>
    <row r="35" spans="1:19" ht="23.15" customHeight="1">
      <c r="A35" s="4" t="s">
        <v>146</v>
      </c>
      <c r="B35" s="5">
        <v>0</v>
      </c>
      <c r="C35" s="5">
        <v>20</v>
      </c>
      <c r="D35" s="7">
        <v>0.27556403992500988</v>
      </c>
      <c r="E35" s="6">
        <f t="shared" si="0"/>
        <v>5.5112807985001977</v>
      </c>
      <c r="F35" s="8" t="s">
        <v>147</v>
      </c>
      <c r="G35" s="1"/>
      <c r="H35" s="8" t="s">
        <v>145</v>
      </c>
      <c r="I35" s="4" t="s">
        <v>85</v>
      </c>
      <c r="J35" s="16"/>
      <c r="K35" s="16"/>
      <c r="L35" s="16"/>
      <c r="M35" s="17"/>
      <c r="N35" s="4"/>
      <c r="O35" s="16"/>
      <c r="P35" s="16"/>
      <c r="Q35" s="16"/>
      <c r="R35" s="17"/>
      <c r="S35" s="8" t="s">
        <v>86</v>
      </c>
    </row>
    <row r="36" spans="1:19" ht="23.15" customHeight="1">
      <c r="A36" s="4" t="s">
        <v>148</v>
      </c>
      <c r="B36" s="5">
        <v>12.096</v>
      </c>
      <c r="C36" s="5">
        <v>2</v>
      </c>
      <c r="D36" s="7">
        <v>1</v>
      </c>
      <c r="E36" s="6">
        <f t="shared" si="0"/>
        <v>14.096</v>
      </c>
      <c r="F36" s="8" t="s">
        <v>149</v>
      </c>
      <c r="G36" s="1"/>
      <c r="H36" s="8" t="s">
        <v>150</v>
      </c>
      <c r="I36" s="4" t="s">
        <v>11</v>
      </c>
      <c r="J36" s="16"/>
      <c r="K36" s="16">
        <v>28</v>
      </c>
      <c r="L36" s="16"/>
      <c r="M36" s="17">
        <v>0.432</v>
      </c>
      <c r="N36" s="4"/>
      <c r="O36" s="16"/>
      <c r="P36" s="16"/>
      <c r="Q36" s="16"/>
      <c r="R36" s="17"/>
      <c r="S36" s="8" t="s">
        <v>151</v>
      </c>
    </row>
    <row r="37" spans="1:19" ht="23.15" customHeight="1">
      <c r="A37" s="4" t="s">
        <v>152</v>
      </c>
      <c r="B37" s="5">
        <v>0</v>
      </c>
      <c r="C37" s="5">
        <v>0</v>
      </c>
      <c r="D37" s="7">
        <v>0</v>
      </c>
      <c r="E37" s="6">
        <f t="shared" si="0"/>
        <v>0</v>
      </c>
      <c r="F37" s="8" t="s">
        <v>153</v>
      </c>
      <c r="G37" s="1"/>
      <c r="H37" s="8" t="s">
        <v>154</v>
      </c>
      <c r="I37" s="4" t="s">
        <v>85</v>
      </c>
      <c r="J37" s="16"/>
      <c r="K37" s="16"/>
      <c r="L37" s="16"/>
      <c r="M37" s="17"/>
      <c r="N37" s="4"/>
      <c r="O37" s="16"/>
      <c r="P37" s="16"/>
      <c r="Q37" s="16"/>
      <c r="R37" s="17"/>
      <c r="S37" s="8" t="s">
        <v>86</v>
      </c>
    </row>
    <row r="38" spans="1:19" ht="23.15" customHeight="1">
      <c r="A38" s="4" t="s">
        <v>155</v>
      </c>
      <c r="B38" s="5">
        <v>1.4</v>
      </c>
      <c r="C38" s="5">
        <v>0</v>
      </c>
      <c r="D38" s="7">
        <v>0</v>
      </c>
      <c r="E38" s="6">
        <f t="shared" si="0"/>
        <v>1.4</v>
      </c>
      <c r="F38" s="8" t="s">
        <v>156</v>
      </c>
      <c r="G38" s="1"/>
      <c r="H38" s="8" t="s">
        <v>157</v>
      </c>
      <c r="I38" s="4" t="s">
        <v>8</v>
      </c>
      <c r="J38" s="16">
        <v>4.5</v>
      </c>
      <c r="K38" s="16">
        <v>5</v>
      </c>
      <c r="L38" s="16">
        <v>5.5</v>
      </c>
      <c r="M38" s="17">
        <v>0.28000000000000003</v>
      </c>
      <c r="N38" s="4"/>
      <c r="O38" s="16"/>
      <c r="P38" s="16"/>
      <c r="Q38" s="16"/>
      <c r="R38" s="17"/>
      <c r="S38" s="8" t="s">
        <v>158</v>
      </c>
    </row>
    <row r="39" spans="1:19" ht="23.15" customHeight="1">
      <c r="A39" s="4" t="s">
        <v>159</v>
      </c>
      <c r="B39" s="5">
        <v>1.1000000000000001</v>
      </c>
      <c r="C39" s="5">
        <v>0</v>
      </c>
      <c r="D39" s="7">
        <v>0</v>
      </c>
      <c r="E39" s="6">
        <f t="shared" si="0"/>
        <v>1.1000000000000001</v>
      </c>
      <c r="F39" s="8" t="s">
        <v>160</v>
      </c>
      <c r="G39" s="1"/>
      <c r="H39" s="8" t="s">
        <v>157</v>
      </c>
      <c r="I39" s="4" t="s">
        <v>8</v>
      </c>
      <c r="J39" s="16">
        <v>4.5</v>
      </c>
      <c r="K39" s="16">
        <v>5</v>
      </c>
      <c r="L39" s="16">
        <v>5.5</v>
      </c>
      <c r="M39" s="17">
        <v>0.21</v>
      </c>
      <c r="N39" s="4"/>
      <c r="O39" s="16"/>
      <c r="P39" s="16"/>
      <c r="Q39" s="16"/>
      <c r="R39" s="17"/>
      <c r="S39" s="8" t="s">
        <v>158</v>
      </c>
    </row>
    <row r="40" spans="1:19" ht="23.15" customHeight="1">
      <c r="A40" s="4" t="s">
        <v>161</v>
      </c>
      <c r="B40" s="5">
        <v>0.9</v>
      </c>
      <c r="C40" s="5">
        <v>0</v>
      </c>
      <c r="D40" s="7">
        <v>0</v>
      </c>
      <c r="E40" s="6">
        <f t="shared" ref="E40:E71" si="1">IF(A40="","",IF(COUNT(B40:D40)&lt;3,"Pending",B40+C40*D40))</f>
        <v>0.9</v>
      </c>
      <c r="F40" s="8" t="s">
        <v>162</v>
      </c>
      <c r="G40" s="1"/>
      <c r="H40" s="8" t="s">
        <v>157</v>
      </c>
      <c r="I40" s="4" t="s">
        <v>8</v>
      </c>
      <c r="J40" s="16">
        <v>4.5</v>
      </c>
      <c r="K40" s="16">
        <v>5</v>
      </c>
      <c r="L40" s="16">
        <v>5.5</v>
      </c>
      <c r="M40" s="17">
        <v>0.18</v>
      </c>
      <c r="N40" s="4"/>
      <c r="O40" s="16"/>
      <c r="P40" s="16"/>
      <c r="Q40" s="16"/>
      <c r="R40" s="17"/>
      <c r="S40" s="8" t="s">
        <v>158</v>
      </c>
    </row>
    <row r="41" spans="1:19" ht="23.15" customHeight="1">
      <c r="A41" s="4" t="s">
        <v>163</v>
      </c>
      <c r="B41" s="5">
        <v>1.8</v>
      </c>
      <c r="C41" s="5">
        <v>0</v>
      </c>
      <c r="D41" s="7">
        <v>0</v>
      </c>
      <c r="E41" s="6">
        <f t="shared" si="1"/>
        <v>1.8</v>
      </c>
      <c r="F41" s="8" t="s">
        <v>164</v>
      </c>
      <c r="G41" s="1"/>
      <c r="H41" s="8" t="s">
        <v>157</v>
      </c>
      <c r="I41" s="4" t="s">
        <v>9</v>
      </c>
      <c r="J41" s="16">
        <v>11</v>
      </c>
      <c r="K41" s="16">
        <v>12</v>
      </c>
      <c r="L41" s="16">
        <v>13.8</v>
      </c>
      <c r="M41" s="17">
        <v>0.15</v>
      </c>
      <c r="N41" s="4"/>
      <c r="O41" s="16"/>
      <c r="P41" s="16"/>
      <c r="Q41" s="16"/>
      <c r="R41" s="17"/>
      <c r="S41" s="8" t="s">
        <v>158</v>
      </c>
    </row>
    <row r="42" spans="1:19" ht="23.15" customHeight="1">
      <c r="A42" s="4" t="s">
        <v>165</v>
      </c>
      <c r="B42" s="5">
        <v>1.5</v>
      </c>
      <c r="C42" s="5">
        <v>0</v>
      </c>
      <c r="D42" s="7">
        <v>0</v>
      </c>
      <c r="E42" s="6">
        <f t="shared" si="1"/>
        <v>1.5</v>
      </c>
      <c r="F42" s="8" t="s">
        <v>166</v>
      </c>
      <c r="G42" s="1"/>
      <c r="H42" s="8" t="s">
        <v>157</v>
      </c>
      <c r="I42" s="4" t="s">
        <v>9</v>
      </c>
      <c r="J42" s="16">
        <v>11</v>
      </c>
      <c r="K42" s="16">
        <v>12</v>
      </c>
      <c r="L42" s="16">
        <v>13.8</v>
      </c>
      <c r="M42" s="17">
        <v>0.12</v>
      </c>
      <c r="N42" s="4"/>
      <c r="O42" s="16"/>
      <c r="P42" s="16"/>
      <c r="Q42" s="16"/>
      <c r="R42" s="17"/>
      <c r="S42" s="8" t="s">
        <v>158</v>
      </c>
    </row>
    <row r="43" spans="1:19" ht="23.15" customHeight="1">
      <c r="A43" s="4" t="s">
        <v>167</v>
      </c>
      <c r="B43" s="5">
        <v>1.2</v>
      </c>
      <c r="C43" s="5">
        <v>0</v>
      </c>
      <c r="D43" s="7">
        <v>0</v>
      </c>
      <c r="E43" s="6">
        <f t="shared" si="1"/>
        <v>1.2</v>
      </c>
      <c r="F43" s="8" t="s">
        <v>168</v>
      </c>
      <c r="G43" s="1"/>
      <c r="H43" s="8" t="s">
        <v>157</v>
      </c>
      <c r="I43" s="4" t="s">
        <v>9</v>
      </c>
      <c r="J43" s="16">
        <v>11</v>
      </c>
      <c r="K43" s="16">
        <v>12</v>
      </c>
      <c r="L43" s="16">
        <v>13.8</v>
      </c>
      <c r="M43" s="17">
        <v>0.1</v>
      </c>
      <c r="N43" s="4"/>
      <c r="O43" s="16"/>
      <c r="P43" s="16"/>
      <c r="Q43" s="16"/>
      <c r="R43" s="17"/>
      <c r="S43" s="8" t="s">
        <v>158</v>
      </c>
    </row>
    <row r="44" spans="1:19" ht="23.15" customHeight="1">
      <c r="A44" s="4"/>
      <c r="B44" s="5"/>
      <c r="C44" s="5"/>
      <c r="D44" s="7"/>
      <c r="E44" s="6" t="str">
        <f t="shared" si="1"/>
        <v/>
      </c>
      <c r="F44" s="4"/>
      <c r="G44" s="1"/>
      <c r="H44" s="4"/>
      <c r="I44" s="4"/>
      <c r="J44" s="5"/>
      <c r="K44" s="5"/>
      <c r="L44" s="5"/>
      <c r="M44" s="17"/>
      <c r="N44" s="4"/>
      <c r="O44" s="5"/>
      <c r="P44" s="5"/>
      <c r="Q44" s="5"/>
      <c r="R44" s="17"/>
      <c r="S44" s="8"/>
    </row>
    <row r="45" spans="1:19" ht="23.15" customHeight="1">
      <c r="A45" s="4"/>
      <c r="B45" s="5"/>
      <c r="C45" s="5"/>
      <c r="D45" s="7"/>
      <c r="E45" s="6" t="str">
        <f t="shared" si="1"/>
        <v/>
      </c>
      <c r="F45" s="4"/>
      <c r="G45" s="1"/>
      <c r="H45" s="4"/>
      <c r="I45" s="4"/>
      <c r="J45" s="5"/>
      <c r="K45" s="5"/>
      <c r="L45" s="5"/>
      <c r="M45" s="17"/>
      <c r="N45" s="4"/>
      <c r="O45" s="5"/>
      <c r="P45" s="5"/>
      <c r="Q45" s="5"/>
      <c r="R45" s="17"/>
      <c r="S45" s="8"/>
    </row>
    <row r="46" spans="1:19" ht="23.15" customHeight="1">
      <c r="A46" s="4"/>
      <c r="B46" s="5"/>
      <c r="C46" s="5"/>
      <c r="D46" s="7"/>
      <c r="E46" s="6" t="str">
        <f t="shared" si="1"/>
        <v/>
      </c>
      <c r="F46" s="4"/>
      <c r="G46" s="1"/>
      <c r="H46" s="4"/>
      <c r="I46" s="4"/>
      <c r="J46" s="5"/>
      <c r="K46" s="5"/>
      <c r="L46" s="5"/>
      <c r="M46" s="17"/>
      <c r="N46" s="4"/>
      <c r="O46" s="5"/>
      <c r="P46" s="5"/>
      <c r="Q46" s="5"/>
      <c r="R46" s="17"/>
      <c r="S46" s="8"/>
    </row>
    <row r="47" spans="1:19" ht="23.15" customHeight="1">
      <c r="A47" s="4"/>
      <c r="B47" s="5"/>
      <c r="C47" s="5"/>
      <c r="D47" s="7"/>
      <c r="E47" s="6" t="str">
        <f t="shared" si="1"/>
        <v/>
      </c>
      <c r="F47" s="4"/>
      <c r="G47" s="1"/>
      <c r="H47" s="4"/>
      <c r="I47" s="4"/>
      <c r="J47" s="5"/>
      <c r="K47" s="5"/>
      <c r="L47" s="5"/>
      <c r="M47" s="17"/>
      <c r="N47" s="4"/>
      <c r="O47" s="5"/>
      <c r="P47" s="5"/>
      <c r="Q47" s="5"/>
      <c r="R47" s="17"/>
      <c r="S47" s="8"/>
    </row>
    <row r="48" spans="1:19" ht="23.15" customHeight="1">
      <c r="A48" s="4"/>
      <c r="B48" s="5"/>
      <c r="C48" s="5"/>
      <c r="D48" s="7"/>
      <c r="E48" s="6" t="str">
        <f t="shared" si="1"/>
        <v/>
      </c>
      <c r="F48" s="4"/>
      <c r="G48" s="1"/>
      <c r="H48" s="4"/>
      <c r="I48" s="4"/>
      <c r="J48" s="5"/>
      <c r="K48" s="5"/>
      <c r="L48" s="5"/>
      <c r="M48" s="17"/>
      <c r="N48" s="4"/>
      <c r="O48" s="5"/>
      <c r="P48" s="5"/>
      <c r="Q48" s="5"/>
      <c r="R48" s="17"/>
      <c r="S48" s="8"/>
    </row>
    <row r="49" spans="1:19" ht="23.15" customHeight="1">
      <c r="A49" s="4"/>
      <c r="B49" s="5"/>
      <c r="C49" s="5"/>
      <c r="D49" s="7"/>
      <c r="E49" s="6" t="str">
        <f t="shared" si="1"/>
        <v/>
      </c>
      <c r="F49" s="4"/>
      <c r="G49" s="1"/>
      <c r="H49" s="4"/>
      <c r="I49" s="4"/>
      <c r="J49" s="5"/>
      <c r="K49" s="5"/>
      <c r="L49" s="5"/>
      <c r="M49" s="17"/>
      <c r="N49" s="4"/>
      <c r="O49" s="5"/>
      <c r="P49" s="5"/>
      <c r="Q49" s="5"/>
      <c r="R49" s="17"/>
      <c r="S49" s="8"/>
    </row>
    <row r="50" spans="1:19" ht="23.15" customHeight="1">
      <c r="A50" s="4"/>
      <c r="B50" s="5"/>
      <c r="C50" s="5"/>
      <c r="D50" s="7"/>
      <c r="E50" s="6" t="str">
        <f t="shared" si="1"/>
        <v/>
      </c>
      <c r="F50" s="4"/>
      <c r="G50" s="1"/>
      <c r="H50" s="4"/>
      <c r="I50" s="4"/>
      <c r="J50" s="5"/>
      <c r="K50" s="5"/>
      <c r="L50" s="5"/>
      <c r="M50" s="17"/>
      <c r="N50" s="4"/>
      <c r="O50" s="5"/>
      <c r="P50" s="5"/>
      <c r="Q50" s="5"/>
      <c r="R50" s="17"/>
      <c r="S50" s="8"/>
    </row>
    <row r="51" spans="1:19" ht="23.15" customHeight="1">
      <c r="A51" s="4"/>
      <c r="B51" s="5"/>
      <c r="C51" s="5"/>
      <c r="D51" s="7"/>
      <c r="E51" s="6" t="str">
        <f t="shared" si="1"/>
        <v/>
      </c>
      <c r="F51" s="4"/>
      <c r="G51" s="1"/>
      <c r="H51" s="4"/>
      <c r="I51" s="4"/>
      <c r="J51" s="5"/>
      <c r="K51" s="5"/>
      <c r="L51" s="5"/>
      <c r="M51" s="17"/>
      <c r="N51" s="4"/>
      <c r="O51" s="5"/>
      <c r="P51" s="5"/>
      <c r="Q51" s="5"/>
      <c r="R51" s="17"/>
      <c r="S51" s="8"/>
    </row>
    <row r="52" spans="1:19" ht="23.15" customHeight="1">
      <c r="A52" s="4"/>
      <c r="B52" s="5"/>
      <c r="C52" s="5"/>
      <c r="D52" s="7"/>
      <c r="E52" s="6" t="str">
        <f t="shared" si="1"/>
        <v/>
      </c>
      <c r="F52" s="4"/>
      <c r="G52" s="1"/>
      <c r="H52" s="4"/>
      <c r="I52" s="4"/>
      <c r="J52" s="5"/>
      <c r="K52" s="5"/>
      <c r="L52" s="5"/>
      <c r="M52" s="17"/>
      <c r="N52" s="4"/>
      <c r="O52" s="5"/>
      <c r="P52" s="5"/>
      <c r="Q52" s="5"/>
      <c r="R52" s="17"/>
      <c r="S52" s="8"/>
    </row>
    <row r="53" spans="1:19" ht="23.15" customHeight="1">
      <c r="A53" s="4"/>
      <c r="B53" s="5"/>
      <c r="C53" s="5"/>
      <c r="D53" s="7"/>
      <c r="E53" s="6" t="str">
        <f t="shared" si="1"/>
        <v/>
      </c>
      <c r="F53" s="4"/>
      <c r="G53" s="1"/>
      <c r="H53" s="4"/>
      <c r="I53" s="4"/>
      <c r="J53" s="5"/>
      <c r="K53" s="5"/>
      <c r="L53" s="5"/>
      <c r="M53" s="17"/>
      <c r="N53" s="4"/>
      <c r="O53" s="5"/>
      <c r="P53" s="5"/>
      <c r="Q53" s="5"/>
      <c r="R53" s="17"/>
      <c r="S53" s="8"/>
    </row>
    <row r="54" spans="1:19" ht="23.15" customHeight="1">
      <c r="A54" s="4"/>
      <c r="B54" s="5"/>
      <c r="C54" s="5"/>
      <c r="D54" s="7"/>
      <c r="E54" s="6" t="str">
        <f t="shared" si="1"/>
        <v/>
      </c>
      <c r="F54" s="4"/>
      <c r="G54" s="1"/>
      <c r="H54" s="4"/>
      <c r="I54" s="4"/>
      <c r="J54" s="5"/>
      <c r="K54" s="5"/>
      <c r="L54" s="5"/>
      <c r="M54" s="17"/>
      <c r="N54" s="4"/>
      <c r="O54" s="5"/>
      <c r="P54" s="5"/>
      <c r="Q54" s="5"/>
      <c r="R54" s="17"/>
      <c r="S54" s="8"/>
    </row>
    <row r="55" spans="1:19" ht="23.15" customHeight="1">
      <c r="A55" s="4"/>
      <c r="B55" s="5"/>
      <c r="C55" s="5"/>
      <c r="D55" s="7"/>
      <c r="E55" s="6" t="str">
        <f t="shared" si="1"/>
        <v/>
      </c>
      <c r="F55" s="4"/>
      <c r="G55" s="1"/>
      <c r="H55" s="4"/>
      <c r="I55" s="4"/>
      <c r="J55" s="5"/>
      <c r="K55" s="5"/>
      <c r="L55" s="5"/>
      <c r="M55" s="17"/>
      <c r="N55" s="4"/>
      <c r="O55" s="5"/>
      <c r="P55" s="5"/>
      <c r="Q55" s="5"/>
      <c r="R55" s="17"/>
      <c r="S55" s="8"/>
    </row>
    <row r="56" spans="1:19" ht="23.15" customHeight="1">
      <c r="A56" s="4"/>
      <c r="B56" s="5"/>
      <c r="C56" s="5"/>
      <c r="D56" s="7"/>
      <c r="E56" s="6" t="str">
        <f t="shared" si="1"/>
        <v/>
      </c>
      <c r="F56" s="4"/>
      <c r="G56" s="1"/>
      <c r="H56" s="4"/>
      <c r="I56" s="4"/>
      <c r="J56" s="5"/>
      <c r="K56" s="5"/>
      <c r="L56" s="5"/>
      <c r="M56" s="17"/>
      <c r="N56" s="4"/>
      <c r="O56" s="5"/>
      <c r="P56" s="5"/>
      <c r="Q56" s="5"/>
      <c r="R56" s="17"/>
      <c r="S56" s="8"/>
    </row>
    <row r="57" spans="1:19" ht="23.15" customHeight="1">
      <c r="A57" s="4"/>
      <c r="B57" s="5"/>
      <c r="C57" s="5"/>
      <c r="D57" s="7"/>
      <c r="E57" s="6" t="str">
        <f t="shared" si="1"/>
        <v/>
      </c>
      <c r="F57" s="4"/>
      <c r="G57" s="1"/>
      <c r="H57" s="4"/>
      <c r="I57" s="4"/>
      <c r="J57" s="5"/>
      <c r="K57" s="5"/>
      <c r="L57" s="5"/>
      <c r="M57" s="17"/>
      <c r="N57" s="4"/>
      <c r="O57" s="5"/>
      <c r="P57" s="5"/>
      <c r="Q57" s="5"/>
      <c r="R57" s="17"/>
      <c r="S57" s="8"/>
    </row>
    <row r="58" spans="1:19" ht="23.15" customHeight="1">
      <c r="A58" s="4"/>
      <c r="B58" s="5"/>
      <c r="C58" s="5"/>
      <c r="D58" s="7"/>
      <c r="E58" s="6" t="str">
        <f t="shared" si="1"/>
        <v/>
      </c>
      <c r="F58" s="4"/>
      <c r="G58" s="1"/>
      <c r="H58" s="4"/>
      <c r="I58" s="4"/>
      <c r="J58" s="5"/>
      <c r="K58" s="5"/>
      <c r="L58" s="5"/>
      <c r="M58" s="17"/>
      <c r="N58" s="4"/>
      <c r="O58" s="5"/>
      <c r="P58" s="5"/>
      <c r="Q58" s="5"/>
      <c r="R58" s="17"/>
      <c r="S58" s="8"/>
    </row>
    <row r="59" spans="1:19" ht="23.15" customHeight="1">
      <c r="A59" s="4"/>
      <c r="B59" s="5"/>
      <c r="C59" s="5"/>
      <c r="D59" s="7"/>
      <c r="E59" s="6" t="str">
        <f t="shared" si="1"/>
        <v/>
      </c>
      <c r="F59" s="4"/>
      <c r="G59" s="1"/>
      <c r="H59" s="4"/>
      <c r="I59" s="4"/>
      <c r="J59" s="5"/>
      <c r="K59" s="5"/>
      <c r="L59" s="5"/>
      <c r="M59" s="17"/>
      <c r="N59" s="4"/>
      <c r="O59" s="5"/>
      <c r="P59" s="5"/>
      <c r="Q59" s="5"/>
      <c r="R59" s="17"/>
      <c r="S59" s="8"/>
    </row>
    <row r="60" spans="1:19" ht="23.15" customHeight="1">
      <c r="A60" s="4"/>
      <c r="B60" s="5"/>
      <c r="C60" s="5"/>
      <c r="D60" s="7"/>
      <c r="E60" s="6" t="str">
        <f t="shared" si="1"/>
        <v/>
      </c>
      <c r="F60" s="4"/>
      <c r="G60" s="1"/>
      <c r="H60" s="4"/>
      <c r="I60" s="4"/>
      <c r="J60" s="5"/>
      <c r="K60" s="5"/>
      <c r="L60" s="5"/>
      <c r="M60" s="17"/>
      <c r="N60" s="4"/>
      <c r="O60" s="5"/>
      <c r="P60" s="5"/>
      <c r="Q60" s="5"/>
      <c r="R60" s="17"/>
      <c r="S60" s="8"/>
    </row>
    <row r="61" spans="1:19" ht="23.15" customHeight="1">
      <c r="A61" s="4"/>
      <c r="B61" s="5"/>
      <c r="C61" s="5"/>
      <c r="D61" s="7"/>
      <c r="E61" s="6" t="str">
        <f t="shared" si="1"/>
        <v/>
      </c>
      <c r="F61" s="4"/>
      <c r="G61" s="1"/>
      <c r="H61" s="4"/>
      <c r="I61" s="4"/>
      <c r="J61" s="5"/>
      <c r="K61" s="5"/>
      <c r="L61" s="5"/>
      <c r="M61" s="17"/>
      <c r="N61" s="4"/>
      <c r="O61" s="5"/>
      <c r="P61" s="5"/>
      <c r="Q61" s="5"/>
      <c r="R61" s="17"/>
      <c r="S61" s="8"/>
    </row>
    <row r="62" spans="1:19" ht="23.15" customHeight="1">
      <c r="A62" s="4"/>
      <c r="B62" s="5"/>
      <c r="C62" s="5"/>
      <c r="D62" s="7"/>
      <c r="E62" s="6" t="str">
        <f t="shared" si="1"/>
        <v/>
      </c>
      <c r="F62" s="4"/>
      <c r="G62" s="1"/>
      <c r="H62" s="4"/>
      <c r="I62" s="4"/>
      <c r="J62" s="5"/>
      <c r="K62" s="5"/>
      <c r="L62" s="5"/>
      <c r="M62" s="17"/>
      <c r="N62" s="4"/>
      <c r="O62" s="5"/>
      <c r="P62" s="5"/>
      <c r="Q62" s="5"/>
      <c r="R62" s="17"/>
      <c r="S62" s="8"/>
    </row>
    <row r="63" spans="1:19" ht="23.15" customHeight="1">
      <c r="A63" s="4"/>
      <c r="B63" s="5"/>
      <c r="C63" s="5"/>
      <c r="D63" s="7"/>
      <c r="E63" s="6" t="str">
        <f t="shared" si="1"/>
        <v/>
      </c>
      <c r="F63" s="4"/>
      <c r="G63" s="1"/>
      <c r="H63" s="4"/>
      <c r="I63" s="4"/>
      <c r="J63" s="5"/>
      <c r="K63" s="5"/>
      <c r="L63" s="5"/>
      <c r="M63" s="17"/>
      <c r="N63" s="4"/>
      <c r="O63" s="5"/>
      <c r="P63" s="5"/>
      <c r="Q63" s="5"/>
      <c r="R63" s="17"/>
      <c r="S63" s="8"/>
    </row>
    <row r="64" spans="1:19" ht="23.15" customHeight="1">
      <c r="A64" s="4"/>
      <c r="B64" s="5"/>
      <c r="C64" s="5"/>
      <c r="D64" s="7"/>
      <c r="E64" s="6" t="str">
        <f t="shared" si="1"/>
        <v/>
      </c>
      <c r="F64" s="4"/>
      <c r="G64" s="1"/>
      <c r="H64" s="4"/>
      <c r="I64" s="4"/>
      <c r="J64" s="5"/>
      <c r="K64" s="5"/>
      <c r="L64" s="5"/>
      <c r="M64" s="17"/>
      <c r="N64" s="4"/>
      <c r="O64" s="5"/>
      <c r="P64" s="5"/>
      <c r="Q64" s="5"/>
      <c r="R64" s="17"/>
      <c r="S64" s="8"/>
    </row>
    <row r="65" spans="1:19" ht="23.15" customHeight="1">
      <c r="A65" s="4"/>
      <c r="B65" s="5"/>
      <c r="C65" s="5"/>
      <c r="D65" s="7"/>
      <c r="E65" s="6" t="str">
        <f t="shared" si="1"/>
        <v/>
      </c>
      <c r="F65" s="4"/>
      <c r="G65" s="1"/>
      <c r="H65" s="4"/>
      <c r="I65" s="4"/>
      <c r="J65" s="5"/>
      <c r="K65" s="5"/>
      <c r="L65" s="5"/>
      <c r="M65" s="17"/>
      <c r="N65" s="4"/>
      <c r="O65" s="5"/>
      <c r="P65" s="5"/>
      <c r="Q65" s="5"/>
      <c r="R65" s="17"/>
      <c r="S65" s="8"/>
    </row>
    <row r="66" spans="1:19" ht="23.15" customHeight="1">
      <c r="A66" s="4"/>
      <c r="B66" s="5"/>
      <c r="C66" s="5"/>
      <c r="D66" s="7"/>
      <c r="E66" s="6" t="str">
        <f t="shared" si="1"/>
        <v/>
      </c>
      <c r="F66" s="4"/>
      <c r="G66" s="1"/>
      <c r="H66" s="4"/>
      <c r="I66" s="4"/>
      <c r="J66" s="5"/>
      <c r="K66" s="5"/>
      <c r="L66" s="5"/>
      <c r="M66" s="17"/>
      <c r="N66" s="4"/>
      <c r="O66" s="5"/>
      <c r="P66" s="5"/>
      <c r="Q66" s="5"/>
      <c r="R66" s="17"/>
      <c r="S66" s="8"/>
    </row>
    <row r="67" spans="1:19" ht="23.15" customHeight="1">
      <c r="A67" s="4"/>
      <c r="B67" s="5"/>
      <c r="C67" s="5"/>
      <c r="D67" s="7"/>
      <c r="E67" s="6" t="str">
        <f t="shared" si="1"/>
        <v/>
      </c>
      <c r="F67" s="4"/>
      <c r="G67" s="1"/>
      <c r="H67" s="4"/>
      <c r="I67" s="4"/>
      <c r="J67" s="5"/>
      <c r="K67" s="5"/>
      <c r="L67" s="5"/>
      <c r="M67" s="17"/>
      <c r="N67" s="4"/>
      <c r="O67" s="5"/>
      <c r="P67" s="5"/>
      <c r="Q67" s="5"/>
      <c r="R67" s="17"/>
      <c r="S67" s="8"/>
    </row>
    <row r="68" spans="1:19" ht="23.15" customHeight="1">
      <c r="A68" s="4"/>
      <c r="B68" s="5"/>
      <c r="C68" s="5"/>
      <c r="D68" s="7"/>
      <c r="E68" s="6" t="str">
        <f t="shared" si="1"/>
        <v/>
      </c>
      <c r="F68" s="4"/>
      <c r="G68" s="1"/>
      <c r="H68" s="4"/>
      <c r="I68" s="4"/>
      <c r="J68" s="5"/>
      <c r="K68" s="5"/>
      <c r="L68" s="5"/>
      <c r="M68" s="17"/>
      <c r="N68" s="4"/>
      <c r="O68" s="5"/>
      <c r="P68" s="5"/>
      <c r="Q68" s="5"/>
      <c r="R68" s="17"/>
      <c r="S68" s="8"/>
    </row>
    <row r="69" spans="1:19" ht="23.15" customHeight="1">
      <c r="A69" s="4"/>
      <c r="B69" s="5"/>
      <c r="C69" s="5"/>
      <c r="D69" s="7"/>
      <c r="E69" s="6" t="str">
        <f t="shared" si="1"/>
        <v/>
      </c>
      <c r="F69" s="4"/>
      <c r="G69" s="1"/>
      <c r="H69" s="4"/>
      <c r="I69" s="4"/>
      <c r="J69" s="5"/>
      <c r="K69" s="5"/>
      <c r="L69" s="5"/>
      <c r="M69" s="17"/>
      <c r="N69" s="4"/>
      <c r="O69" s="5"/>
      <c r="P69" s="5"/>
      <c r="Q69" s="5"/>
      <c r="R69" s="17"/>
      <c r="S69" s="8"/>
    </row>
    <row r="70" spans="1:19" ht="23.15" customHeight="1">
      <c r="A70" s="4"/>
      <c r="B70" s="5"/>
      <c r="C70" s="5"/>
      <c r="D70" s="7"/>
      <c r="E70" s="6" t="str">
        <f t="shared" si="1"/>
        <v/>
      </c>
      <c r="F70" s="4"/>
      <c r="G70" s="1"/>
      <c r="H70" s="4"/>
      <c r="I70" s="4"/>
      <c r="J70" s="5"/>
      <c r="K70" s="5"/>
      <c r="L70" s="5"/>
      <c r="M70" s="17"/>
      <c r="N70" s="4"/>
      <c r="O70" s="5"/>
      <c r="P70" s="5"/>
      <c r="Q70" s="5"/>
      <c r="R70" s="17"/>
      <c r="S70" s="8"/>
    </row>
    <row r="71" spans="1:19" ht="23.15" customHeight="1">
      <c r="A71" s="4"/>
      <c r="B71" s="5"/>
      <c r="C71" s="5"/>
      <c r="D71" s="7"/>
      <c r="E71" s="6" t="str">
        <f t="shared" si="1"/>
        <v/>
      </c>
      <c r="F71" s="4"/>
      <c r="G71" s="1"/>
      <c r="H71" s="4"/>
      <c r="I71" s="4"/>
      <c r="J71" s="5"/>
      <c r="K71" s="5"/>
      <c r="L71" s="5"/>
      <c r="M71" s="17"/>
      <c r="N71" s="4"/>
      <c r="O71" s="5"/>
      <c r="P71" s="5"/>
      <c r="Q71" s="5"/>
      <c r="R71" s="17"/>
      <c r="S71" s="8"/>
    </row>
    <row r="72" spans="1:19" ht="23.15" customHeight="1">
      <c r="A72" s="4"/>
      <c r="B72" s="5"/>
      <c r="C72" s="5"/>
      <c r="D72" s="7"/>
      <c r="E72" s="6" t="str">
        <f t="shared" ref="E72:E103" si="2">IF(A72="","",IF(COUNT(B72:D72)&lt;3,"Pending",B72+C72*D72))</f>
        <v/>
      </c>
      <c r="F72" s="4"/>
      <c r="G72" s="1"/>
      <c r="H72" s="4"/>
      <c r="I72" s="4"/>
      <c r="J72" s="5"/>
      <c r="K72" s="5"/>
      <c r="L72" s="5"/>
      <c r="M72" s="17"/>
      <c r="N72" s="4"/>
      <c r="O72" s="5"/>
      <c r="P72" s="5"/>
      <c r="Q72" s="5"/>
      <c r="R72" s="17"/>
      <c r="S72" s="8"/>
    </row>
    <row r="73" spans="1:19" ht="23.15" customHeight="1">
      <c r="A73" s="4"/>
      <c r="B73" s="5"/>
      <c r="C73" s="5"/>
      <c r="D73" s="7"/>
      <c r="E73" s="6" t="str">
        <f t="shared" si="2"/>
        <v/>
      </c>
      <c r="F73" s="4"/>
      <c r="G73" s="1"/>
      <c r="H73" s="4"/>
      <c r="I73" s="4"/>
      <c r="J73" s="5"/>
      <c r="K73" s="5"/>
      <c r="L73" s="5"/>
      <c r="M73" s="17"/>
      <c r="N73" s="4"/>
      <c r="O73" s="5"/>
      <c r="P73" s="5"/>
      <c r="Q73" s="5"/>
      <c r="R73" s="17"/>
      <c r="S73" s="8"/>
    </row>
    <row r="74" spans="1:19" ht="23.15" customHeight="1">
      <c r="A74" s="4"/>
      <c r="B74" s="5"/>
      <c r="C74" s="5"/>
      <c r="D74" s="7"/>
      <c r="E74" s="6" t="str">
        <f t="shared" si="2"/>
        <v/>
      </c>
      <c r="F74" s="4"/>
      <c r="G74" s="1"/>
      <c r="H74" s="4"/>
      <c r="I74" s="4"/>
      <c r="J74" s="5"/>
      <c r="K74" s="5"/>
      <c r="L74" s="5"/>
      <c r="M74" s="17"/>
      <c r="N74" s="4"/>
      <c r="O74" s="5"/>
      <c r="P74" s="5"/>
      <c r="Q74" s="5"/>
      <c r="R74" s="17"/>
      <c r="S74" s="8"/>
    </row>
    <row r="75" spans="1:19" ht="23.15" customHeight="1">
      <c r="A75" s="4"/>
      <c r="B75" s="5"/>
      <c r="C75" s="5"/>
      <c r="D75" s="7"/>
      <c r="E75" s="6" t="str">
        <f t="shared" si="2"/>
        <v/>
      </c>
      <c r="F75" s="4"/>
      <c r="G75" s="1"/>
      <c r="H75" s="4"/>
      <c r="I75" s="4"/>
      <c r="J75" s="5"/>
      <c r="K75" s="5"/>
      <c r="L75" s="5"/>
      <c r="M75" s="17"/>
      <c r="N75" s="4"/>
      <c r="O75" s="5"/>
      <c r="P75" s="5"/>
      <c r="Q75" s="5"/>
      <c r="R75" s="17"/>
      <c r="S75" s="8"/>
    </row>
    <row r="76" spans="1:19" ht="23.15" customHeight="1">
      <c r="A76" s="4"/>
      <c r="B76" s="5"/>
      <c r="C76" s="5"/>
      <c r="D76" s="7"/>
      <c r="E76" s="6" t="str">
        <f t="shared" si="2"/>
        <v/>
      </c>
      <c r="F76" s="4"/>
      <c r="G76" s="1"/>
      <c r="H76" s="4"/>
      <c r="I76" s="4"/>
      <c r="J76" s="5"/>
      <c r="K76" s="5"/>
      <c r="L76" s="5"/>
      <c r="M76" s="17"/>
      <c r="N76" s="4"/>
      <c r="O76" s="5"/>
      <c r="P76" s="5"/>
      <c r="Q76" s="5"/>
      <c r="R76" s="17"/>
      <c r="S76" s="8"/>
    </row>
    <row r="77" spans="1:19" ht="23.15" customHeight="1">
      <c r="A77" s="4"/>
      <c r="B77" s="5"/>
      <c r="C77" s="5"/>
      <c r="D77" s="7"/>
      <c r="E77" s="6" t="str">
        <f t="shared" si="2"/>
        <v/>
      </c>
      <c r="F77" s="4"/>
      <c r="G77" s="1"/>
      <c r="H77" s="4"/>
      <c r="I77" s="4"/>
      <c r="J77" s="5"/>
      <c r="K77" s="5"/>
      <c r="L77" s="5"/>
      <c r="M77" s="17"/>
      <c r="N77" s="4"/>
      <c r="O77" s="5"/>
      <c r="P77" s="5"/>
      <c r="Q77" s="5"/>
      <c r="R77" s="17"/>
      <c r="S77" s="8"/>
    </row>
    <row r="78" spans="1:19" ht="23.15" customHeight="1">
      <c r="A78" s="4"/>
      <c r="B78" s="5"/>
      <c r="C78" s="5"/>
      <c r="D78" s="7"/>
      <c r="E78" s="6" t="str">
        <f t="shared" si="2"/>
        <v/>
      </c>
      <c r="F78" s="4"/>
      <c r="G78" s="1"/>
      <c r="H78" s="4"/>
      <c r="I78" s="4"/>
      <c r="J78" s="5"/>
      <c r="K78" s="5"/>
      <c r="L78" s="5"/>
      <c r="M78" s="17"/>
      <c r="N78" s="4"/>
      <c r="O78" s="5"/>
      <c r="P78" s="5"/>
      <c r="Q78" s="5"/>
      <c r="R78" s="17"/>
      <c r="S78" s="8"/>
    </row>
    <row r="79" spans="1:19" ht="23.15" customHeight="1">
      <c r="A79" s="4"/>
      <c r="B79" s="5"/>
      <c r="C79" s="5"/>
      <c r="D79" s="7"/>
      <c r="E79" s="6" t="str">
        <f t="shared" si="2"/>
        <v/>
      </c>
      <c r="F79" s="4"/>
      <c r="G79" s="1"/>
      <c r="H79" s="4"/>
      <c r="I79" s="4"/>
      <c r="J79" s="5"/>
      <c r="K79" s="5"/>
      <c r="L79" s="5"/>
      <c r="M79" s="17"/>
      <c r="N79" s="4"/>
      <c r="O79" s="5"/>
      <c r="P79" s="5"/>
      <c r="Q79" s="5"/>
      <c r="R79" s="17"/>
      <c r="S79" s="8"/>
    </row>
    <row r="80" spans="1:19" ht="23.15" customHeight="1">
      <c r="A80" s="4"/>
      <c r="B80" s="5"/>
      <c r="C80" s="5"/>
      <c r="D80" s="7"/>
      <c r="E80" s="6" t="str">
        <f t="shared" si="2"/>
        <v/>
      </c>
      <c r="F80" s="4"/>
      <c r="G80" s="1"/>
      <c r="H80" s="4"/>
      <c r="I80" s="4"/>
      <c r="J80" s="5"/>
      <c r="K80" s="5"/>
      <c r="L80" s="5"/>
      <c r="M80" s="17"/>
      <c r="N80" s="4"/>
      <c r="O80" s="5"/>
      <c r="P80" s="5"/>
      <c r="Q80" s="5"/>
      <c r="R80" s="17"/>
      <c r="S80" s="8"/>
    </row>
    <row r="81" spans="1:19" ht="23.15" customHeight="1">
      <c r="A81" s="4"/>
      <c r="B81" s="5"/>
      <c r="C81" s="5"/>
      <c r="D81" s="7"/>
      <c r="E81" s="6" t="str">
        <f t="shared" si="2"/>
        <v/>
      </c>
      <c r="F81" s="4"/>
      <c r="G81" s="1"/>
      <c r="H81" s="4"/>
      <c r="I81" s="4"/>
      <c r="J81" s="5"/>
      <c r="K81" s="5"/>
      <c r="L81" s="5"/>
      <c r="M81" s="17"/>
      <c r="N81" s="4"/>
      <c r="O81" s="5"/>
      <c r="P81" s="5"/>
      <c r="Q81" s="5"/>
      <c r="R81" s="17"/>
      <c r="S81" s="8"/>
    </row>
    <row r="82" spans="1:19" ht="23.15" customHeight="1">
      <c r="A82" s="4"/>
      <c r="B82" s="5"/>
      <c r="C82" s="5"/>
      <c r="D82" s="7"/>
      <c r="E82" s="6" t="str">
        <f t="shared" si="2"/>
        <v/>
      </c>
      <c r="F82" s="4"/>
      <c r="G82" s="1"/>
      <c r="H82" s="4"/>
      <c r="I82" s="4"/>
      <c r="J82" s="5"/>
      <c r="K82" s="5"/>
      <c r="L82" s="5"/>
      <c r="M82" s="17"/>
      <c r="N82" s="4"/>
      <c r="O82" s="5"/>
      <c r="P82" s="5"/>
      <c r="Q82" s="5"/>
      <c r="R82" s="17"/>
      <c r="S82" s="8"/>
    </row>
    <row r="83" spans="1:19" ht="23.15" customHeight="1">
      <c r="A83" s="4"/>
      <c r="B83" s="5"/>
      <c r="C83" s="5"/>
      <c r="D83" s="7"/>
      <c r="E83" s="6" t="str">
        <f t="shared" si="2"/>
        <v/>
      </c>
      <c r="F83" s="4"/>
      <c r="G83" s="1"/>
      <c r="H83" s="4"/>
      <c r="I83" s="4"/>
      <c r="J83" s="5"/>
      <c r="K83" s="5"/>
      <c r="L83" s="5"/>
      <c r="M83" s="17"/>
      <c r="N83" s="4"/>
      <c r="O83" s="5"/>
      <c r="P83" s="5"/>
      <c r="Q83" s="5"/>
      <c r="R83" s="17"/>
      <c r="S83" s="8"/>
    </row>
    <row r="84" spans="1:19" ht="23.15" customHeight="1">
      <c r="A84" s="4"/>
      <c r="B84" s="5"/>
      <c r="C84" s="5"/>
      <c r="D84" s="7"/>
      <c r="E84" s="6" t="str">
        <f t="shared" si="2"/>
        <v/>
      </c>
      <c r="F84" s="4"/>
      <c r="G84" s="1"/>
      <c r="H84" s="4"/>
      <c r="I84" s="4"/>
      <c r="J84" s="5"/>
      <c r="K84" s="5"/>
      <c r="L84" s="5"/>
      <c r="M84" s="17"/>
      <c r="N84" s="4"/>
      <c r="O84" s="5"/>
      <c r="P84" s="5"/>
      <c r="Q84" s="5"/>
      <c r="R84" s="17"/>
      <c r="S84" s="8"/>
    </row>
    <row r="85" spans="1:19" ht="23.15" customHeight="1">
      <c r="A85" s="4"/>
      <c r="B85" s="5"/>
      <c r="C85" s="5"/>
      <c r="D85" s="7"/>
      <c r="E85" s="6" t="str">
        <f t="shared" si="2"/>
        <v/>
      </c>
      <c r="F85" s="4"/>
      <c r="G85" s="1"/>
      <c r="H85" s="4"/>
      <c r="I85" s="4"/>
      <c r="J85" s="5"/>
      <c r="K85" s="5"/>
      <c r="L85" s="5"/>
      <c r="M85" s="17"/>
      <c r="N85" s="4"/>
      <c r="O85" s="5"/>
      <c r="P85" s="5"/>
      <c r="Q85" s="5"/>
      <c r="R85" s="17"/>
      <c r="S85" s="8"/>
    </row>
    <row r="86" spans="1:19" ht="23.15" customHeight="1">
      <c r="A86" s="4"/>
      <c r="B86" s="5"/>
      <c r="C86" s="5"/>
      <c r="D86" s="7"/>
      <c r="E86" s="6" t="str">
        <f t="shared" si="2"/>
        <v/>
      </c>
      <c r="F86" s="4"/>
      <c r="G86" s="1"/>
      <c r="H86" s="4"/>
      <c r="I86" s="4"/>
      <c r="J86" s="5"/>
      <c r="K86" s="5"/>
      <c r="L86" s="5"/>
      <c r="M86" s="17"/>
      <c r="N86" s="4"/>
      <c r="O86" s="5"/>
      <c r="P86" s="5"/>
      <c r="Q86" s="5"/>
      <c r="R86" s="17"/>
      <c r="S86" s="8"/>
    </row>
    <row r="87" spans="1:19" ht="23.15" customHeight="1">
      <c r="A87" s="4"/>
      <c r="B87" s="5"/>
      <c r="C87" s="5"/>
      <c r="D87" s="7"/>
      <c r="E87" s="6" t="str">
        <f t="shared" si="2"/>
        <v/>
      </c>
      <c r="F87" s="4"/>
      <c r="G87" s="1"/>
      <c r="H87" s="4"/>
      <c r="I87" s="4"/>
      <c r="J87" s="5"/>
      <c r="K87" s="5"/>
      <c r="L87" s="5"/>
      <c r="M87" s="17"/>
      <c r="N87" s="4"/>
      <c r="O87" s="5"/>
      <c r="P87" s="5"/>
      <c r="Q87" s="5"/>
      <c r="R87" s="17"/>
      <c r="S87" s="8"/>
    </row>
    <row r="88" spans="1:19" ht="23.15" customHeight="1">
      <c r="A88" s="4"/>
      <c r="B88" s="5"/>
      <c r="C88" s="5"/>
      <c r="D88" s="7"/>
      <c r="E88" s="6" t="str">
        <f t="shared" si="2"/>
        <v/>
      </c>
      <c r="F88" s="4"/>
      <c r="G88" s="1"/>
      <c r="H88" s="4"/>
      <c r="I88" s="4"/>
      <c r="J88" s="5"/>
      <c r="K88" s="5"/>
      <c r="L88" s="5"/>
      <c r="M88" s="17"/>
      <c r="N88" s="4"/>
      <c r="O88" s="5"/>
      <c r="P88" s="5"/>
      <c r="Q88" s="5"/>
      <c r="R88" s="17"/>
      <c r="S88" s="8"/>
    </row>
    <row r="89" spans="1:19" ht="23.15" customHeight="1">
      <c r="A89" s="4"/>
      <c r="B89" s="5"/>
      <c r="C89" s="5"/>
      <c r="D89" s="7"/>
      <c r="E89" s="6" t="str">
        <f t="shared" si="2"/>
        <v/>
      </c>
      <c r="F89" s="4"/>
      <c r="G89" s="1"/>
      <c r="H89" s="4"/>
      <c r="I89" s="4"/>
      <c r="J89" s="5"/>
      <c r="K89" s="5"/>
      <c r="L89" s="5"/>
      <c r="M89" s="17"/>
      <c r="N89" s="4"/>
      <c r="O89" s="5"/>
      <c r="P89" s="5"/>
      <c r="Q89" s="5"/>
      <c r="R89" s="17"/>
      <c r="S89" s="8"/>
    </row>
    <row r="90" spans="1:19" ht="23.15" customHeight="1">
      <c r="A90" s="4"/>
      <c r="B90" s="5"/>
      <c r="C90" s="5"/>
      <c r="D90" s="7"/>
      <c r="E90" s="6" t="str">
        <f t="shared" si="2"/>
        <v/>
      </c>
      <c r="F90" s="4"/>
      <c r="G90" s="1"/>
      <c r="H90" s="4"/>
      <c r="I90" s="4"/>
      <c r="J90" s="5"/>
      <c r="K90" s="5"/>
      <c r="L90" s="5"/>
      <c r="M90" s="17"/>
      <c r="N90" s="4"/>
      <c r="O90" s="5"/>
      <c r="P90" s="5"/>
      <c r="Q90" s="5"/>
      <c r="R90" s="17"/>
      <c r="S90" s="8"/>
    </row>
    <row r="91" spans="1:19" ht="23.15" customHeight="1">
      <c r="A91" s="4"/>
      <c r="B91" s="5"/>
      <c r="C91" s="5"/>
      <c r="D91" s="7"/>
      <c r="E91" s="6" t="str">
        <f t="shared" si="2"/>
        <v/>
      </c>
      <c r="F91" s="4"/>
      <c r="G91" s="1"/>
      <c r="H91" s="4"/>
      <c r="I91" s="4"/>
      <c r="J91" s="5"/>
      <c r="K91" s="5"/>
      <c r="L91" s="5"/>
      <c r="M91" s="17"/>
      <c r="N91" s="4"/>
      <c r="O91" s="5"/>
      <c r="P91" s="5"/>
      <c r="Q91" s="5"/>
      <c r="R91" s="17"/>
      <c r="S91" s="8"/>
    </row>
    <row r="92" spans="1:19" ht="23.15" customHeight="1">
      <c r="A92" s="4"/>
      <c r="B92" s="5"/>
      <c r="C92" s="5"/>
      <c r="D92" s="7"/>
      <c r="E92" s="6" t="str">
        <f t="shared" si="2"/>
        <v/>
      </c>
      <c r="F92" s="4"/>
      <c r="G92" s="1"/>
      <c r="H92" s="4"/>
      <c r="I92" s="4"/>
      <c r="J92" s="5"/>
      <c r="K92" s="5"/>
      <c r="L92" s="5"/>
      <c r="M92" s="17"/>
      <c r="N92" s="4"/>
      <c r="O92" s="5"/>
      <c r="P92" s="5"/>
      <c r="Q92" s="5"/>
      <c r="R92" s="17"/>
      <c r="S92" s="8"/>
    </row>
    <row r="93" spans="1:19" ht="23.15" customHeight="1">
      <c r="A93" s="4"/>
      <c r="B93" s="5"/>
      <c r="C93" s="5"/>
      <c r="D93" s="7"/>
      <c r="E93" s="6" t="str">
        <f t="shared" si="2"/>
        <v/>
      </c>
      <c r="F93" s="4"/>
      <c r="G93" s="1"/>
      <c r="H93" s="4"/>
      <c r="I93" s="4"/>
      <c r="J93" s="5"/>
      <c r="K93" s="5"/>
      <c r="L93" s="5"/>
      <c r="M93" s="17"/>
      <c r="N93" s="4"/>
      <c r="O93" s="5"/>
      <c r="P93" s="5"/>
      <c r="Q93" s="5"/>
      <c r="R93" s="17"/>
      <c r="S93" s="8"/>
    </row>
    <row r="94" spans="1:19" ht="23.15" customHeight="1">
      <c r="A94" s="4"/>
      <c r="B94" s="5"/>
      <c r="C94" s="5"/>
      <c r="D94" s="7"/>
      <c r="E94" s="6" t="str">
        <f t="shared" si="2"/>
        <v/>
      </c>
      <c r="F94" s="4"/>
      <c r="G94" s="1"/>
      <c r="H94" s="4"/>
      <c r="I94" s="4"/>
      <c r="J94" s="5"/>
      <c r="K94" s="5"/>
      <c r="L94" s="5"/>
      <c r="M94" s="17"/>
      <c r="N94" s="4"/>
      <c r="O94" s="5"/>
      <c r="P94" s="5"/>
      <c r="Q94" s="5"/>
      <c r="R94" s="17"/>
      <c r="S94" s="8"/>
    </row>
    <row r="95" spans="1:19" ht="23.15" customHeight="1">
      <c r="A95" s="4"/>
      <c r="B95" s="5"/>
      <c r="C95" s="5"/>
      <c r="D95" s="7"/>
      <c r="E95" s="6" t="str">
        <f t="shared" si="2"/>
        <v/>
      </c>
      <c r="F95" s="4"/>
      <c r="G95" s="1"/>
      <c r="H95" s="4"/>
      <c r="I95" s="4"/>
      <c r="J95" s="5"/>
      <c r="K95" s="5"/>
      <c r="L95" s="5"/>
      <c r="M95" s="17"/>
      <c r="N95" s="4"/>
      <c r="O95" s="5"/>
      <c r="P95" s="5"/>
      <c r="Q95" s="5"/>
      <c r="R95" s="17"/>
      <c r="S95" s="8"/>
    </row>
    <row r="96" spans="1:19" ht="23.15" customHeight="1">
      <c r="A96" s="4"/>
      <c r="B96" s="5"/>
      <c r="C96" s="5"/>
      <c r="D96" s="7"/>
      <c r="E96" s="6" t="str">
        <f t="shared" si="2"/>
        <v/>
      </c>
      <c r="F96" s="4"/>
      <c r="G96" s="1"/>
      <c r="H96" s="4"/>
      <c r="I96" s="4"/>
      <c r="J96" s="5"/>
      <c r="K96" s="5"/>
      <c r="L96" s="5"/>
      <c r="M96" s="17"/>
      <c r="N96" s="4"/>
      <c r="O96" s="5"/>
      <c r="P96" s="5"/>
      <c r="Q96" s="5"/>
      <c r="R96" s="17"/>
      <c r="S96" s="8"/>
    </row>
    <row r="97" spans="1:19" ht="23.15" customHeight="1">
      <c r="A97" s="4"/>
      <c r="B97" s="5"/>
      <c r="C97" s="5"/>
      <c r="D97" s="7"/>
      <c r="E97" s="6" t="str">
        <f t="shared" si="2"/>
        <v/>
      </c>
      <c r="F97" s="4"/>
      <c r="G97" s="1"/>
      <c r="H97" s="4"/>
      <c r="I97" s="4"/>
      <c r="J97" s="5"/>
      <c r="K97" s="5"/>
      <c r="L97" s="5"/>
      <c r="M97" s="17"/>
      <c r="N97" s="4"/>
      <c r="O97" s="5"/>
      <c r="P97" s="5"/>
      <c r="Q97" s="5"/>
      <c r="R97" s="17"/>
      <c r="S97" s="8"/>
    </row>
    <row r="98" spans="1:19" ht="23.15" customHeight="1">
      <c r="A98" s="4"/>
      <c r="B98" s="5"/>
      <c r="C98" s="5"/>
      <c r="D98" s="7"/>
      <c r="E98" s="6" t="str">
        <f t="shared" si="2"/>
        <v/>
      </c>
      <c r="F98" s="4"/>
      <c r="G98" s="1"/>
      <c r="H98" s="4"/>
      <c r="I98" s="4"/>
      <c r="J98" s="5"/>
      <c r="K98" s="5"/>
      <c r="L98" s="5"/>
      <c r="M98" s="17"/>
      <c r="N98" s="4"/>
      <c r="O98" s="5"/>
      <c r="P98" s="5"/>
      <c r="Q98" s="5"/>
      <c r="R98" s="17"/>
      <c r="S98" s="8"/>
    </row>
    <row r="99" spans="1:19" ht="23.15" customHeight="1">
      <c r="A99" s="4"/>
      <c r="B99" s="5"/>
      <c r="C99" s="5"/>
      <c r="D99" s="7"/>
      <c r="E99" s="6" t="str">
        <f t="shared" si="2"/>
        <v/>
      </c>
      <c r="F99" s="4"/>
      <c r="G99" s="1"/>
      <c r="H99" s="4"/>
      <c r="I99" s="4"/>
      <c r="J99" s="5"/>
      <c r="K99" s="5"/>
      <c r="L99" s="5"/>
      <c r="M99" s="17"/>
      <c r="N99" s="4"/>
      <c r="O99" s="5"/>
      <c r="P99" s="5"/>
      <c r="Q99" s="5"/>
      <c r="R99" s="17"/>
      <c r="S99" s="8"/>
    </row>
    <row r="100" spans="1:19" ht="23.15" customHeight="1">
      <c r="A100" s="4"/>
      <c r="B100" s="5"/>
      <c r="C100" s="5"/>
      <c r="D100" s="7"/>
      <c r="E100" s="6" t="str">
        <f t="shared" si="2"/>
        <v/>
      </c>
      <c r="F100" s="4"/>
      <c r="G100" s="1"/>
      <c r="H100" s="4"/>
      <c r="I100" s="4"/>
      <c r="J100" s="5"/>
      <c r="K100" s="5"/>
      <c r="L100" s="5"/>
      <c r="M100" s="17"/>
      <c r="N100" s="4"/>
      <c r="O100" s="5"/>
      <c r="P100" s="5"/>
      <c r="Q100" s="5"/>
      <c r="R100" s="17"/>
      <c r="S100" s="8"/>
    </row>
    <row r="101" spans="1:19" ht="23.15" customHeight="1">
      <c r="A101" s="4"/>
      <c r="B101" s="5"/>
      <c r="C101" s="5"/>
      <c r="D101" s="7"/>
      <c r="E101" s="6" t="str">
        <f t="shared" si="2"/>
        <v/>
      </c>
      <c r="F101" s="4"/>
      <c r="G101" s="1"/>
      <c r="H101" s="4"/>
      <c r="I101" s="4"/>
      <c r="J101" s="5"/>
      <c r="K101" s="5"/>
      <c r="L101" s="5"/>
      <c r="M101" s="17"/>
      <c r="N101" s="4"/>
      <c r="O101" s="5"/>
      <c r="P101" s="5"/>
      <c r="Q101" s="5"/>
      <c r="R101" s="17"/>
      <c r="S101" s="8"/>
    </row>
    <row r="102" spans="1:19" ht="23.15" customHeight="1">
      <c r="A102" s="4"/>
      <c r="B102" s="5"/>
      <c r="C102" s="5"/>
      <c r="D102" s="7"/>
      <c r="E102" s="6" t="str">
        <f t="shared" si="2"/>
        <v/>
      </c>
      <c r="F102" s="4"/>
      <c r="G102" s="1"/>
      <c r="H102" s="4"/>
      <c r="I102" s="4"/>
      <c r="J102" s="5"/>
      <c r="K102" s="5"/>
      <c r="L102" s="5"/>
      <c r="M102" s="17"/>
      <c r="N102" s="4"/>
      <c r="O102" s="5"/>
      <c r="P102" s="5"/>
      <c r="Q102" s="5"/>
      <c r="R102" s="17"/>
      <c r="S102" s="8"/>
    </row>
    <row r="103" spans="1:19" ht="23.15" customHeight="1">
      <c r="A103" s="4"/>
      <c r="B103" s="5"/>
      <c r="C103" s="5"/>
      <c r="D103" s="7"/>
      <c r="E103" s="6" t="str">
        <f t="shared" si="2"/>
        <v/>
      </c>
      <c r="F103" s="4"/>
      <c r="G103" s="1"/>
      <c r="H103" s="4"/>
      <c r="I103" s="4"/>
      <c r="J103" s="5"/>
      <c r="K103" s="5"/>
      <c r="L103" s="5"/>
      <c r="M103" s="17"/>
      <c r="N103" s="4"/>
      <c r="O103" s="5"/>
      <c r="P103" s="5"/>
      <c r="Q103" s="5"/>
      <c r="R103" s="17"/>
      <c r="S103" s="8"/>
    </row>
    <row r="104" spans="1:19" ht="23.15" customHeight="1">
      <c r="A104" s="4"/>
      <c r="B104" s="5"/>
      <c r="C104" s="5"/>
      <c r="D104" s="7"/>
      <c r="E104" s="6" t="str">
        <f t="shared" ref="E104:E135" si="3">IF(A104="","",IF(COUNT(B104:D104)&lt;3,"Pending",B104+C104*D104))</f>
        <v/>
      </c>
      <c r="F104" s="4"/>
      <c r="G104" s="1"/>
      <c r="H104" s="4"/>
      <c r="I104" s="4"/>
      <c r="J104" s="5"/>
      <c r="K104" s="5"/>
      <c r="L104" s="5"/>
      <c r="M104" s="17"/>
      <c r="N104" s="4"/>
      <c r="O104" s="5"/>
      <c r="P104" s="5"/>
      <c r="Q104" s="5"/>
      <c r="R104" s="17"/>
      <c r="S104" s="8"/>
    </row>
    <row r="105" spans="1:19" ht="23.15" customHeight="1">
      <c r="A105" s="4"/>
      <c r="B105" s="5"/>
      <c r="C105" s="5"/>
      <c r="D105" s="7"/>
      <c r="E105" s="6" t="str">
        <f t="shared" si="3"/>
        <v/>
      </c>
      <c r="F105" s="4"/>
      <c r="G105" s="1"/>
      <c r="H105" s="4"/>
      <c r="I105" s="4"/>
      <c r="J105" s="5"/>
      <c r="K105" s="5"/>
      <c r="L105" s="5"/>
      <c r="M105" s="17"/>
      <c r="N105" s="4"/>
      <c r="O105" s="5"/>
      <c r="P105" s="5"/>
      <c r="Q105" s="5"/>
      <c r="R105" s="17"/>
      <c r="S105" s="8"/>
    </row>
    <row r="106" spans="1:19" ht="23.15" customHeight="1">
      <c r="A106" s="4"/>
      <c r="B106" s="5"/>
      <c r="C106" s="5"/>
      <c r="D106" s="7"/>
      <c r="E106" s="6" t="str">
        <f t="shared" si="3"/>
        <v/>
      </c>
      <c r="F106" s="4"/>
      <c r="G106" s="1"/>
      <c r="H106" s="4"/>
      <c r="I106" s="4"/>
      <c r="J106" s="5"/>
      <c r="K106" s="5"/>
      <c r="L106" s="5"/>
      <c r="M106" s="17"/>
      <c r="N106" s="4"/>
      <c r="O106" s="5"/>
      <c r="P106" s="5"/>
      <c r="Q106" s="5"/>
      <c r="R106" s="17"/>
      <c r="S106" s="8"/>
    </row>
    <row r="107" spans="1:19" ht="23.15" customHeight="1">
      <c r="A107" s="4"/>
      <c r="B107" s="5"/>
      <c r="C107" s="5"/>
      <c r="D107" s="7"/>
      <c r="E107" s="6" t="str">
        <f t="shared" si="3"/>
        <v/>
      </c>
      <c r="F107" s="4"/>
      <c r="G107" s="1"/>
      <c r="H107" s="4"/>
      <c r="I107" s="4"/>
      <c r="J107" s="5"/>
      <c r="K107" s="5"/>
      <c r="L107" s="5"/>
      <c r="M107" s="17"/>
      <c r="N107" s="4"/>
      <c r="O107" s="5"/>
      <c r="P107" s="5"/>
      <c r="Q107" s="5"/>
      <c r="R107" s="17"/>
      <c r="S10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Switch Matrix</vt:lpstr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Black</cp:lastModifiedBy>
  <dcterms:created xsi:type="dcterms:W3CDTF">2026-10-25T23:14:06Z</dcterms:created>
  <dcterms:modified xsi:type="dcterms:W3CDTF">2026-10-25T23:14:32Z</dcterms:modified>
</cp:coreProperties>
</file>