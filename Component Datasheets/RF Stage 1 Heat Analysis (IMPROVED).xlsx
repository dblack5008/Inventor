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Voltage Summary" sheetId="1" state="visible" r:id="rId1"/>
    <sheet name="Switch Matrix" sheetId="2" state="visible" r:id="rId2"/>
    <sheet name="Compon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0000"/>
  </numFmts>
  <fonts count="8">
    <font>
      <name val="Carlito"/>
      <sz val="11"/>
    </font>
    <font>
      <name val="Arial"/>
      <color rgb="FF243347"/>
      <sz val="11"/>
    </font>
    <font>
      <name val="Arial"/>
      <b val="1"/>
      <color rgb="FF243C59"/>
      <sz val="16"/>
    </font>
    <font>
      <name val="Arial"/>
      <b val="1"/>
      <color rgb="FFFFFFFF"/>
      <sz val="11"/>
    </font>
    <font>
      <name val="Arial"/>
      <b val="1"/>
      <color rgb="FF243347"/>
      <sz val="11"/>
    </font>
    <font>
      <b val="1"/>
      <color rgb="00FFFFFF"/>
      <sz val="14"/>
    </font>
    <font>
      <b val="1"/>
      <sz val="1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FF243C59"/>
      </patternFill>
    </fill>
    <fill>
      <patternFill patternType="solid">
        <fgColor rgb="FFFFF2CC"/>
      </patternFill>
    </fill>
    <fill>
      <patternFill patternType="solid">
        <fgColor rgb="00203864"/>
        <bgColor rgb="00203864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1" fillId="3" borderId="0" pivotButton="0" quotePrefix="0" xfId="0"/>
    <xf numFmtId="164" fontId="1" fillId="3" borderId="0" pivotButton="0" quotePrefix="0" xfId="0"/>
    <xf numFmtId="164" fontId="1" fillId="0" borderId="0" pivotButton="0" quotePrefix="0" xfId="0"/>
    <xf numFmtId="165" fontId="1" fillId="3" borderId="0" pivotButton="0" quotePrefix="0" xfId="0"/>
    <xf numFmtId="0" fontId="1" fillId="3" borderId="0" applyAlignment="1" pivotButton="0" quotePrefix="0" xfId="0">
      <alignment wrapText="1"/>
    </xf>
    <xf numFmtId="0" fontId="4" fillId="0" borderId="0" pivotButton="0" quotePrefix="0" xfId="0"/>
    <xf numFmtId="164" fontId="4" fillId="0" borderId="0" pivotButton="0" quotePrefix="0" xfId="0"/>
    <xf numFmtId="1" fontId="1" fillId="3" borderId="0" pivotButton="0" quotePrefix="0" xfId="0"/>
    <xf numFmtId="0" fontId="1" fillId="0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2" fontId="1" fillId="0" borderId="0" pivotButton="0" quotePrefix="0" xfId="0"/>
    <xf numFmtId="166" fontId="1" fillId="0" borderId="0" pivotButton="0" quotePrefix="0" xfId="0"/>
    <xf numFmtId="2" fontId="1" fillId="3" borderId="0" pivotButton="0" quotePrefix="0" xfId="0"/>
    <xf numFmtId="166" fontId="1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5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7" borderId="1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A52222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5" customWidth="1" min="4" max="4"/>
    <col width="20" customWidth="1" min="5" max="5"/>
    <col width="15" customWidth="1" min="6" max="6"/>
    <col width="15" customWidth="1" min="7" max="7"/>
  </cols>
  <sheetData>
    <row r="1">
      <c r="A1" s="18" t="inlineStr">
        <is>
          <t>RF STAGE 1 - VOLTAGE REQUIREMENTS SUMMARY</t>
        </is>
      </c>
    </row>
    <row r="3">
      <c r="A3" s="19" t="inlineStr">
        <is>
          <t>WHY RAIL 1 AND RAIL 2?</t>
        </is>
      </c>
    </row>
    <row r="4" ht="45" customHeight="1">
      <c r="A4" s="20" t="inlineStr">
        <is>
          <t>Some components require TWO voltage supplies (e.g., +5V AND -5V). Rail 1 contains the primary voltage, and Rail 2 contains the secondary voltage when needed. Passive components show "None (passive)" and require no power supply.</t>
        </is>
      </c>
    </row>
    <row r="5"/>
    <row r="6"/>
    <row r="7">
      <c r="A7" s="21" t="inlineStr">
        <is>
          <t>SWITCH MATRIX ENCLOSURE - VOLTAGE REQUIREMENTS</t>
        </is>
      </c>
    </row>
    <row r="8">
      <c r="A8" s="22" t="inlineStr">
        <is>
          <t>Voltage Type</t>
        </is>
      </c>
      <c r="B8" s="22" t="inlineStr">
        <is>
          <t>Total Current (A)</t>
        </is>
      </c>
      <c r="C8" s="22" t="inlineStr">
        <is>
          <t>Components Using This Voltage</t>
        </is>
      </c>
      <c r="D8" s="22" t="inlineStr"/>
      <c r="E8" s="22" t="inlineStr"/>
      <c r="F8" s="22" t="inlineStr"/>
      <c r="G8" s="22" t="inlineStr"/>
    </row>
    <row r="9" ht="20" customHeight="1">
      <c r="A9" s="23" t="inlineStr">
        <is>
          <t>+5 V</t>
        </is>
      </c>
      <c r="B9" s="23" t="n">
        <v>1.6</v>
      </c>
      <c r="C9" s="23" t="inlineStr">
        <is>
          <t>TTL-1SP8T-183 (x8)</t>
        </is>
      </c>
    </row>
    <row r="10" ht="20" customHeight="1">
      <c r="A10" s="23" t="inlineStr">
        <is>
          <t>-5 V</t>
        </is>
      </c>
      <c r="B10" s="23" t="n">
        <v>0.2</v>
      </c>
      <c r="C10" s="23" t="inlineStr">
        <is>
          <t>TTL-1SP8T-183 (x8)</t>
        </is>
      </c>
    </row>
    <row r="12">
      <c r="A12" s="21" t="inlineStr">
        <is>
          <t>ALL VOLTAGE TYPES IN COMPONENT CATALOG</t>
        </is>
      </c>
    </row>
    <row r="13">
      <c r="A13" s="22" t="inlineStr">
        <is>
          <t>Voltage Type</t>
        </is>
      </c>
      <c r="B13" s="22" t="inlineStr">
        <is>
          <t>Voltage Range</t>
        </is>
      </c>
      <c r="C13" s="22" t="inlineStr">
        <is>
          <t>Max Current/Unit (A)</t>
        </is>
      </c>
      <c r="D13" s="22" t="inlineStr">
        <is>
          <t>Example Components</t>
        </is>
      </c>
    </row>
    <row r="14" ht="20" customHeight="1">
      <c r="A14" s="23" t="inlineStr">
        <is>
          <t>+3 V</t>
        </is>
      </c>
      <c r="B14" s="23" t="inlineStr">
        <is>
          <t>2.7V to 3.6V</t>
        </is>
      </c>
      <c r="C14" s="23" t="n">
        <v>0.003</v>
      </c>
      <c r="D14" s="23" t="inlineStr">
        <is>
          <t>ZX76-31A-PNS+</t>
        </is>
      </c>
    </row>
    <row r="15" ht="20" customHeight="1">
      <c r="A15" s="23" t="inlineStr">
        <is>
          <t>+3.3 V</t>
        </is>
      </c>
      <c r="B15" s="23" t="inlineStr">
        <is>
          <t>2.33V to 5.4V</t>
        </is>
      </c>
      <c r="C15" s="23" t="n">
        <v>0.00025</v>
      </c>
      <c r="D15" s="23" t="inlineStr">
        <is>
          <t>ZX76-24G-30-S+</t>
        </is>
      </c>
    </row>
    <row r="16" ht="20" customHeight="1">
      <c r="A16" s="23" t="inlineStr">
        <is>
          <t>+5 V</t>
        </is>
      </c>
      <c r="B16" s="23" t="inlineStr">
        <is>
          <t>4.5V to 5.5V</t>
        </is>
      </c>
      <c r="C16" s="23" t="n">
        <v>0.28</v>
      </c>
      <c r="D16" s="23" t="inlineStr">
        <is>
          <t>ZVA-443X+, TTL-1SP8T-183, 50P-2101 (+3 more)</t>
        </is>
      </c>
    </row>
    <row r="17" ht="20" customHeight="1">
      <c r="A17" s="23" t="inlineStr">
        <is>
          <t>+12 V</t>
        </is>
      </c>
      <c r="B17" s="23" t="inlineStr">
        <is>
          <t>11.0V to 13.8V</t>
        </is>
      </c>
      <c r="C17" s="23" t="n">
        <v>0.43</v>
      </c>
      <c r="D17" s="23" t="inlineStr">
        <is>
          <t>MSP2TA-18-12+ (energized), MSP2TA-18-12+ (de-energized), OD3010-12HB fan (+2 more)</t>
        </is>
      </c>
    </row>
    <row r="18" ht="20" customHeight="1">
      <c r="A18" s="23" t="inlineStr">
        <is>
          <t>+15 V</t>
        </is>
      </c>
      <c r="B18" s="23" t="inlineStr">
        <is>
          <t>See datasheet</t>
        </is>
      </c>
      <c r="C18" s="23" t="n">
        <v>0.105</v>
      </c>
      <c r="D18" s="23" t="inlineStr">
        <is>
          <t>ZFL-1000+</t>
        </is>
      </c>
    </row>
    <row r="19" ht="20" customHeight="1">
      <c r="A19" s="23" t="inlineStr">
        <is>
          <t>+28 V</t>
        </is>
      </c>
      <c r="B19" s="23" t="inlineStr">
        <is>
          <t>See datasheet</t>
        </is>
      </c>
      <c r="C19" s="23" t="n">
        <v>0.432</v>
      </c>
      <c r="D19" s="23" t="inlineStr">
        <is>
          <t>PA-124-D (all cells energized)</t>
        </is>
      </c>
    </row>
    <row r="20" ht="20" customHeight="1">
      <c r="A20" s="23" t="inlineStr">
        <is>
          <t>-3 V</t>
        </is>
      </c>
      <c r="B20" s="23" t="inlineStr">
        <is>
          <t>-3.3V to -2.7V</t>
        </is>
      </c>
      <c r="C20" s="23" t="n">
        <v>4e-05</v>
      </c>
      <c r="D20" s="23" t="inlineStr">
        <is>
          <t>ZX76-24G-30-S+</t>
        </is>
      </c>
    </row>
    <row r="21" ht="20" customHeight="1">
      <c r="A21" s="23" t="inlineStr">
        <is>
          <t>-3.3 V</t>
        </is>
      </c>
      <c r="B21" s="23" t="inlineStr">
        <is>
          <t>-3.6V to -3.2V</t>
        </is>
      </c>
      <c r="C21" s="23" t="n">
        <v>4e-05</v>
      </c>
      <c r="D21" s="23" t="inlineStr">
        <is>
          <t>ZX76-31A-PNS+</t>
        </is>
      </c>
    </row>
    <row r="22" ht="20" customHeight="1">
      <c r="A22" s="23" t="inlineStr">
        <is>
          <t>-5 V</t>
        </is>
      </c>
      <c r="B22" s="23" t="inlineStr">
        <is>
          <t>-5.25V to -4.75V</t>
        </is>
      </c>
      <c r="C22" s="23" t="n">
        <v>0.025</v>
      </c>
      <c r="D22" s="23" t="inlineStr">
        <is>
          <t>TTL-1SP8T-183</t>
        </is>
      </c>
    </row>
    <row r="24">
      <c r="A24" s="21" t="inlineStr">
        <is>
          <t>COMPONENTS REQUIRING DUAL VOLTAGE SUPPLIES</t>
        </is>
      </c>
    </row>
    <row r="25">
      <c r="A25" s="22" t="inlineStr">
        <is>
          <t>Component</t>
        </is>
      </c>
      <c r="B25" s="22" t="inlineStr">
        <is>
          <t>Rail 1 Voltage</t>
        </is>
      </c>
      <c r="C25" s="22" t="inlineStr">
        <is>
          <t>Rail 1 Current (A)</t>
        </is>
      </c>
      <c r="D25" s="22" t="inlineStr">
        <is>
          <t>Rail 2 Voltage</t>
        </is>
      </c>
      <c r="E25" s="22" t="inlineStr">
        <is>
          <t>Rail 2 Current (A)</t>
        </is>
      </c>
    </row>
    <row r="26">
      <c r="A26" s="24" t="inlineStr">
        <is>
          <t>ZX76-31A-PNS+</t>
        </is>
      </c>
      <c r="B26" s="24" t="inlineStr">
        <is>
          <t>+3 V</t>
        </is>
      </c>
      <c r="C26" s="24" t="n">
        <v>0.003</v>
      </c>
      <c r="D26" s="24" t="inlineStr">
        <is>
          <t>-3.3 V</t>
        </is>
      </c>
      <c r="E26" s="24" t="n">
        <v>4e-05</v>
      </c>
    </row>
    <row r="27">
      <c r="A27" s="24" t="inlineStr">
        <is>
          <t>TTL-1SP8T-183</t>
        </is>
      </c>
      <c r="B27" s="24" t="inlineStr">
        <is>
          <t>+5 V</t>
        </is>
      </c>
      <c r="C27" s="24" t="n">
        <v>0.2</v>
      </c>
      <c r="D27" s="24" t="inlineStr">
        <is>
          <t>-5 V</t>
        </is>
      </c>
      <c r="E27" s="24" t="n">
        <v>0.025</v>
      </c>
    </row>
    <row r="28">
      <c r="A28" s="24" t="inlineStr">
        <is>
          <t>ZX76-24G-30-S+</t>
        </is>
      </c>
      <c r="B28" s="24" t="inlineStr">
        <is>
          <t>+3.3 V</t>
        </is>
      </c>
      <c r="C28" s="24" t="n">
        <v>0.00025</v>
      </c>
      <c r="D28" s="24" t="inlineStr">
        <is>
          <t>-3 V</t>
        </is>
      </c>
      <c r="E28" s="24" t="n">
        <v>4e-05</v>
      </c>
    </row>
  </sheetData>
  <mergeCells count="6">
    <mergeCell ref="A1:G1"/>
    <mergeCell ref="A4:G6"/>
    <mergeCell ref="A3:G3"/>
    <mergeCell ref="A12:G12"/>
    <mergeCell ref="A24:G24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43C59"/>
    <outlinePr summaryBelow="1" summaryRight="1"/>
    <pageSetUpPr/>
  </sheetPr>
  <dimension ref="A1:U70"/>
  <sheetViews>
    <sheetView showGridLines="0" tabSelected="1" workbookViewId="0">
      <pane ySplit="10" topLeftCell="A11" activePane="bottomLeft" state="frozen"/>
      <selection pane="bottomLeft" activeCell="G4" sqref="G4"/>
    </sheetView>
  </sheetViews>
  <sheetFormatPr baseColWidth="8" defaultRowHeight="14"/>
  <cols>
    <col width="38" customWidth="1" min="1" max="1"/>
    <col width="20.83203125" bestFit="1" customWidth="1" min="2" max="2"/>
    <col width="15" customWidth="1" min="3" max="3"/>
    <col width="16" customWidth="1" min="4" max="4"/>
    <col width="15" customWidth="1" min="5" max="5"/>
    <col width="16" customWidth="1" min="6" max="6"/>
    <col width="23" customWidth="1" min="7" max="7"/>
    <col width="3" customWidth="1" min="8" max="8"/>
    <col width="65" customWidth="1" min="9" max="9"/>
    <col width="13" customWidth="1" min="10" max="21"/>
  </cols>
  <sheetData>
    <row r="1" ht="23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23.15" customHeight="1">
      <c r="A2" s="2" t="inlineStr">
        <is>
          <t>Enclosure 1 heat analysis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9" t="inlineStr">
        <is>
          <t>Sum of max amps per voltage type (from rows 11-70)</t>
        </is>
      </c>
    </row>
    <row r="3" ht="23.15" customHeight="1">
      <c r="A3" s="1" t="inlineStr">
        <is>
          <t>Enclosure name</t>
        </is>
      </c>
      <c r="B3" s="13" t="inlineStr">
        <is>
          <t>Switch Matrix</t>
        </is>
      </c>
      <c r="C3" s="13" t="n"/>
      <c r="D3" s="13" t="inlineStr">
        <is>
          <t>CFM</t>
        </is>
      </c>
      <c r="E3" s="1" t="n"/>
      <c r="F3" s="1" t="n"/>
      <c r="G3" s="1" t="n"/>
      <c r="H3" s="1" t="n"/>
      <c r="I3" s="1" t="n"/>
      <c r="J3" s="3" t="inlineStr">
        <is>
          <t>Voltage type</t>
        </is>
      </c>
      <c r="K3" s="3" t="inlineStr">
        <is>
          <t>+3 V</t>
        </is>
      </c>
      <c r="L3" s="3" t="inlineStr">
        <is>
          <t>+3.3 V</t>
        </is>
      </c>
      <c r="M3" s="3" t="inlineStr">
        <is>
          <t>+5 V</t>
        </is>
      </c>
      <c r="N3" s="3" t="inlineStr">
        <is>
          <t>+12 V</t>
        </is>
      </c>
      <c r="O3" s="3" t="inlineStr">
        <is>
          <t>+15 V</t>
        </is>
      </c>
      <c r="P3" s="3" t="inlineStr">
        <is>
          <t>+28 V</t>
        </is>
      </c>
      <c r="Q3" s="3" t="inlineStr">
        <is>
          <t>-3 V</t>
        </is>
      </c>
      <c r="R3" s="3" t="inlineStr">
        <is>
          <t>-3.3 V</t>
        </is>
      </c>
      <c r="S3" s="3" t="inlineStr">
        <is>
          <t>-5 V</t>
        </is>
      </c>
    </row>
    <row r="4" ht="23.15" customHeight="1">
      <c r="A4" s="9" t="inlineStr">
        <is>
          <t>Known heat subtotal (W)</t>
        </is>
      </c>
      <c r="B4" s="10">
        <f>SUM(F11:F70)</f>
        <v/>
      </c>
      <c r="C4" s="1" t="n"/>
      <c r="D4" s="1" t="n"/>
      <c r="E4" s="1" t="n"/>
      <c r="F4" s="1" t="n"/>
      <c r="G4" s="1" t="n"/>
      <c r="H4" s="1" t="n"/>
      <c r="I4" s="1" t="n"/>
      <c r="J4" s="9" t="inlineStr">
        <is>
          <t>Sum max A</t>
        </is>
      </c>
      <c r="K4" s="10">
        <f>SUMIF($J$11:$J$70,K$3,$O$11:$O$70)+SUMIF($P$11:$P$70,K$3,$U$11:$U$70)</f>
        <v/>
      </c>
      <c r="L4" s="10">
        <f>SUMIF($J$11:$J$70,L$3,$O$11:$O$70)+SUMIF($P$11:$P$70,L$3,$U$11:$U$70)</f>
        <v/>
      </c>
      <c r="M4" s="10">
        <f>SUMIF($J$11:$J$70,M$3,$O$11:$O$70)+SUMIF($P$11:$P$70,M$3,$U$11:$U$70)</f>
        <v/>
      </c>
      <c r="N4" s="10">
        <f>SUMIF($J$11:$J$70,N$3,$O$11:$O$70)+SUMIF($P$11:$P$70,N$3,$U$11:$U$70)</f>
        <v/>
      </c>
      <c r="O4" s="10">
        <f>SUMIF($J$11:$J$70,O$3,$O$11:$O$70)+SUMIF($P$11:$P$70,O$3,$U$11:$U$70)</f>
        <v/>
      </c>
      <c r="P4" s="10">
        <f>SUMIF($J$11:$J$70,P$3,$O$11:$O$70)+SUMIF($P$11:$P$70,P$3,$U$11:$U$70)</f>
        <v/>
      </c>
      <c r="Q4" s="10">
        <f>SUMIF($J$11:$J$70,Q$3,$O$11:$O$70)+SUMIF($P$11:$P$70,Q$3,$U$11:$U$70)</f>
        <v/>
      </c>
      <c r="R4" s="10">
        <f>SUMIF($J$11:$J$70,R$3,$O$11:$O$70)+SUMIF($P$11:$P$70,R$3,$U$11:$U$70)</f>
        <v/>
      </c>
      <c r="S4" s="10">
        <f>SUMIF($J$11:$J$70,S$3,$O$11:$O$70)+SUMIF($P$11:$P$70,S$3,$U$11:$U$70)</f>
        <v/>
      </c>
    </row>
    <row r="5" ht="23.15" customHeight="1">
      <c r="A5" s="1" t="inlineStr">
        <is>
          <t>Total status</t>
        </is>
      </c>
      <c r="B5" s="1">
        <f>IF(COUNTA(A11:A70)=0,"No components",IF(COUNTIF(G11:G70,"Needs*")+COUNTIF(G11:G70,"Invalid*")&gt;0,"Incomplete","Calculated; review basis"))</f>
        <v/>
      </c>
      <c r="C5" s="1" t="n"/>
      <c r="D5" s="1" t="n"/>
      <c r="E5" s="1" t="n"/>
      <c r="F5" s="1" t="n"/>
      <c r="G5" s="1" t="n"/>
      <c r="H5" s="1" t="n"/>
      <c r="I5" s="1" t="n"/>
      <c r="J5" t="inlineStr">
        <is>
          <t>Check (=0)</t>
        </is>
      </c>
      <c r="K5" s="6">
        <f>SUM($O$11:$O$70)+SUM($U$11:$U$70)-SUM($K$4:$S$4)</f>
        <v/>
      </c>
    </row>
    <row r="6" ht="23.1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t="inlineStr">
        <is>
          <t>Check = amps on voltage types not listed in row 3. If it is not 0, add that voltage type to row 3.</t>
        </is>
      </c>
    </row>
    <row r="7" ht="23.15" customHeight="1">
      <c r="A7" s="1" t="inlineStr">
        <is>
          <t>1. Select a component in column A.  2. Enter quantity in B.  3. Review the heat basis in I.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 ht="23.15" customHeight="1">
      <c r="A8" s="1" t="inlineStr">
        <is>
          <t>Optional: enter actual W/unit in D. Blank uses the catalog; zero is a valid override. Amber = editable.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3.15" customHeight="1">
      <c r="A9" s="1" t="inlineStr">
        <is>
          <t>60 rows per enclosure. Duplicate this tab for another enclosure; add a link on Summary if needed.</t>
        </is>
      </c>
      <c r="B9" s="1" t="n"/>
      <c r="C9" s="1" t="n"/>
      <c r="D9" s="1" t="n"/>
      <c r="E9" s="1" t="n"/>
      <c r="F9" s="1" t="n"/>
      <c r="G9" s="1" t="n"/>
      <c r="H9" s="1" t="n"/>
      <c r="I9" s="1" t="n"/>
    </row>
    <row r="10" ht="34" customHeight="1">
      <c r="A10" s="3" t="inlineStr">
        <is>
          <t>Component / operating case</t>
        </is>
      </c>
      <c r="B10" s="3" t="inlineStr">
        <is>
          <t>Quantity</t>
        </is>
      </c>
      <c r="C10" s="3" t="inlineStr">
        <is>
          <t>Catalog W/unit</t>
        </is>
      </c>
      <c r="D10" s="3" t="inlineStr">
        <is>
          <t>Override W/unit</t>
        </is>
      </c>
      <c r="E10" s="3" t="inlineStr">
        <is>
          <t>Applied W/unit</t>
        </is>
      </c>
      <c r="F10" s="3" t="inlineStr">
        <is>
          <t>Total heat W</t>
        </is>
      </c>
      <c r="G10" s="3" t="inlineStr">
        <is>
          <t>Row status</t>
        </is>
      </c>
      <c r="H10" s="1" t="n"/>
      <c r="I10" s="3" t="inlineStr">
        <is>
          <t>Basis / notes</t>
        </is>
      </c>
      <c r="J10" s="3" t="inlineStr">
        <is>
          <t>Rail 1 voltage type</t>
        </is>
      </c>
      <c r="K10" s="3" t="inlineStr">
        <is>
          <t>Rail 1 V min</t>
        </is>
      </c>
      <c r="L10" s="3" t="inlineStr">
        <is>
          <t>Rail 1 V recommended</t>
        </is>
      </c>
      <c r="M10" s="3" t="inlineStr">
        <is>
          <t>Rail 1 V max</t>
        </is>
      </c>
      <c r="N10" s="3" t="inlineStr">
        <is>
          <t>Rail 1 max A/unit</t>
        </is>
      </c>
      <c r="O10" s="3" t="inlineStr">
        <is>
          <t>Rail 1 max A total</t>
        </is>
      </c>
      <c r="P10" s="3" t="inlineStr">
        <is>
          <t>Rail 2 voltage type</t>
        </is>
      </c>
      <c r="Q10" s="3" t="inlineStr">
        <is>
          <t>Rail 2 V min</t>
        </is>
      </c>
      <c r="R10" s="3" t="inlineStr">
        <is>
          <t>Rail 2 V recommended</t>
        </is>
      </c>
      <c r="S10" s="3" t="inlineStr">
        <is>
          <t>Rail 2 V max</t>
        </is>
      </c>
      <c r="T10" s="3" t="inlineStr">
        <is>
          <t>Rail 2 max A/unit</t>
        </is>
      </c>
      <c r="U10" s="3" t="inlineStr">
        <is>
          <t>Rail 2 max A total</t>
        </is>
      </c>
    </row>
    <row r="11" ht="48" customHeight="1">
      <c r="A11" s="4" t="inlineStr">
        <is>
          <t>TTL-1SP8T-183</t>
        </is>
      </c>
      <c r="B11" s="11" t="n">
        <v>8</v>
      </c>
      <c r="C11" s="6">
        <f>IF(A11="","",IF(COUNTIF(Components!$A$8:$A$107,A11)&lt;&gt;1,"Pending",VLOOKUP(A11,Components!$A$8:$F$107,5,FALSE)))</f>
        <v/>
      </c>
      <c r="D11" s="5" t="n"/>
      <c r="E11" s="6">
        <f>IF(A11="","",IF(ISBLANK(D11),C11,IF(AND(ISNUMBER(D11),D11&gt;=0),D11,"Pending")))</f>
        <v/>
      </c>
      <c r="F11" s="6">
        <f>IF(OR(G11="Catalog basis",G11="Override used"),B11*E11,"")</f>
        <v/>
      </c>
      <c r="G11" s="1">
        <f>IF(A11="",IF(OR(NOT(ISBLANK(B11)),NOT(ISBLANK(D11))),"Needs component",""),IF(COUNTIF(Components!$A$8:$A$107,A11)&lt;&gt;1,"Invalid component",IF(ISBLANK(B11),"Needs quantity",IF(NOT(ISNUMBER(B11)),"Invalid quantity",IF(OR(B11&lt;0,B11&lt;&gt;INT(B11)),"Invalid quantity",IF(NOT(ISNUMBER(E11)),"Needs heat input",IF(NOT(ISBLANK(D11)),"Override used","Catalog basis")))))))</f>
        <v/>
      </c>
      <c r="H11" s="1" t="n"/>
      <c r="I11" s="12">
        <f>IF(A11="","",IF(COUNTIF(Components!$A$8:$A$107,A11)&lt;&gt;1,"Select a unique catalog component",VLOOKUP(A11,Components!$A$8:$F$107,6,FALSE)))</f>
        <v/>
      </c>
      <c r="J11" s="1">
        <f>IF(OR(A11="",COUNTIF(Components!$A$8:$A$107,A11)&lt;&gt;1),"",IF(VLOOKUP(A11,Components!$A$8:$S$107,9,FALSE)="","",VLOOKUP(A11,Components!$A$8:$S$107,9,FALSE)))</f>
        <v/>
      </c>
      <c r="K11" s="14">
        <f>IF(OR(A11="",COUNTIF(Components!$A$8:$A$107,A11)&lt;&gt;1),"",IF(VLOOKUP(A11,Components!$A$8:$S$107,10,FALSE)="","",VLOOKUP(A11,Components!$A$8:$S$107,10,FALSE)))</f>
        <v/>
      </c>
      <c r="L11" s="14">
        <f>IF(OR(A11="",COUNTIF(Components!$A$8:$A$107,A11)&lt;&gt;1),"",IF(VLOOKUP(A11,Components!$A$8:$S$107,11,FALSE)="","",VLOOKUP(A11,Components!$A$8:$S$107,11,FALSE)))</f>
        <v/>
      </c>
      <c r="M11" s="14">
        <f>IF(OR(A11="",COUNTIF(Components!$A$8:$A$107,A11)&lt;&gt;1),"",IF(VLOOKUP(A11,Components!$A$8:$S$107,12,FALSE)="","",VLOOKUP(A11,Components!$A$8:$S$107,12,FALSE)))</f>
        <v/>
      </c>
      <c r="N11" s="15">
        <f>IF(OR(A11="",COUNTIF(Components!$A$8:$A$107,A11)&lt;&gt;1),"",IF(VLOOKUP(A11,Components!$A$8:$S$107,13,FALSE)="","",VLOOKUP(A11,Components!$A$8:$S$107,13,FALSE)))</f>
        <v/>
      </c>
      <c r="O11" s="15">
        <f>IF(OR(N11="",NOT(ISNUMBER(B11))),"",B11*N11)</f>
        <v/>
      </c>
      <c r="P11" s="1">
        <f>IF(OR(A11="",COUNTIF(Components!$A$8:$A$107,A11)&lt;&gt;1),"",IF(VLOOKUP(A11,Components!$A$8:$S$107,14,FALSE)="","",VLOOKUP(A11,Components!$A$8:$S$107,14,FALSE)))</f>
        <v/>
      </c>
      <c r="Q11" s="14">
        <f>IF(OR(A11="",COUNTIF(Components!$A$8:$A$107,A11)&lt;&gt;1),"",IF(VLOOKUP(A11,Components!$A$8:$S$107,15,FALSE)="","",VLOOKUP(A11,Components!$A$8:$S$107,15,FALSE)))</f>
        <v/>
      </c>
      <c r="R11" s="14">
        <f>IF(OR(A11="",COUNTIF(Components!$A$8:$A$107,A11)&lt;&gt;1),"",IF(VLOOKUP(A11,Components!$A$8:$S$107,16,FALSE)="","",VLOOKUP(A11,Components!$A$8:$S$107,16,FALSE)))</f>
        <v/>
      </c>
      <c r="S11" s="14">
        <f>IF(OR(A11="",COUNTIF(Components!$A$8:$A$107,A11)&lt;&gt;1),"",IF(VLOOKUP(A11,Components!$A$8:$S$107,17,FALSE)="","",VLOOKUP(A11,Components!$A$8:$S$107,17,FALSE)))</f>
        <v/>
      </c>
      <c r="T11" s="15">
        <f>IF(OR(A11="",COUNTIF(Components!$A$8:$A$107,A11)&lt;&gt;1),"",IF(VLOOKUP(A11,Components!$A$8:$S$107,18,FALSE)="","",VLOOKUP(A11,Components!$A$8:$S$107,18,FALSE)))</f>
        <v/>
      </c>
      <c r="U11" s="15">
        <f>IF(OR(T11="",NOT(ISNUMBER(B11))),"",B11*T11)</f>
        <v/>
      </c>
    </row>
    <row r="12" ht="48" customHeight="1">
      <c r="A12" s="4" t="inlineStr">
        <is>
          <t>BW-S0.5W2+</t>
        </is>
      </c>
      <c r="B12" s="11" t="n">
        <v>8</v>
      </c>
      <c r="C12" s="6">
        <f>IF(A12="","",IF(COUNTIF(Components!$A$8:$A$107,A12)&lt;&gt;1,"Pending",VLOOKUP(A12,Components!$A$8:$F$107,5,FALSE)))</f>
        <v/>
      </c>
      <c r="D12" s="5" t="n"/>
      <c r="E12" s="6">
        <f>IF(A12="","",IF(ISBLANK(D12),C12,IF(AND(ISNUMBER(D12),D12&gt;=0),D12,"Pending")))</f>
        <v/>
      </c>
      <c r="F12" s="6">
        <f>IF(OR(G12="Catalog basis",G12="Override used"),B12*E12,"")</f>
        <v/>
      </c>
      <c r="G12" s="1">
        <f>IF(A12="",IF(OR(NOT(ISBLANK(B12)),NOT(ISBLANK(D12))),"Needs component",""),IF(COUNTIF(Components!$A$8:$A$107,A12)&lt;&gt;1,"Invalid component",IF(ISBLANK(B12),"Needs quantity",IF(NOT(ISNUMBER(B12)),"Invalid quantity",IF(OR(B12&lt;0,B12&lt;&gt;INT(B12)),"Invalid quantity",IF(NOT(ISNUMBER(E12)),"Needs heat input",IF(NOT(ISBLANK(D12)),"Override used","Catalog basis")))))))</f>
        <v/>
      </c>
      <c r="H12" s="1" t="n"/>
      <c r="I12" s="12">
        <f>IF(A12="","",IF(COUNTIF(Components!$A$8:$A$107,A12)&lt;&gt;1,"Select a unique catalog component",VLOOKUP(A12,Components!$A$8:$F$107,6,FALSE)))</f>
        <v/>
      </c>
      <c r="J12" s="1">
        <f>IF(OR(A12="",COUNTIF(Components!$A$8:$A$107,A12)&lt;&gt;1),"",IF(VLOOKUP(A12,Components!$A$8:$S$107,9,FALSE)="","",VLOOKUP(A12,Components!$A$8:$S$107,9,FALSE)))</f>
        <v/>
      </c>
      <c r="K12" s="14">
        <f>IF(OR(A12="",COUNTIF(Components!$A$8:$A$107,A12)&lt;&gt;1),"",IF(VLOOKUP(A12,Components!$A$8:$S$107,10,FALSE)="","",VLOOKUP(A12,Components!$A$8:$S$107,10,FALSE)))</f>
        <v/>
      </c>
      <c r="L12" s="14">
        <f>IF(OR(A12="",COUNTIF(Components!$A$8:$A$107,A12)&lt;&gt;1),"",IF(VLOOKUP(A12,Components!$A$8:$S$107,11,FALSE)="","",VLOOKUP(A12,Components!$A$8:$S$107,11,FALSE)))</f>
        <v/>
      </c>
      <c r="M12" s="14">
        <f>IF(OR(A12="",COUNTIF(Components!$A$8:$A$107,A12)&lt;&gt;1),"",IF(VLOOKUP(A12,Components!$A$8:$S$107,12,FALSE)="","",VLOOKUP(A12,Components!$A$8:$S$107,12,FALSE)))</f>
        <v/>
      </c>
      <c r="N12" s="15">
        <f>IF(OR(A12="",COUNTIF(Components!$A$8:$A$107,A12)&lt;&gt;1),"",IF(VLOOKUP(A12,Components!$A$8:$S$107,13,FALSE)="","",VLOOKUP(A12,Components!$A$8:$S$107,13,FALSE)))</f>
        <v/>
      </c>
      <c r="O12" s="15">
        <f>IF(OR(N12="",NOT(ISNUMBER(B12))),"",B12*N12)</f>
        <v/>
      </c>
      <c r="P12" s="1">
        <f>IF(OR(A12="",COUNTIF(Components!$A$8:$A$107,A12)&lt;&gt;1),"",IF(VLOOKUP(A12,Components!$A$8:$S$107,14,FALSE)="","",VLOOKUP(A12,Components!$A$8:$S$107,14,FALSE)))</f>
        <v/>
      </c>
      <c r="Q12" s="14">
        <f>IF(OR(A12="",COUNTIF(Components!$A$8:$A$107,A12)&lt;&gt;1),"",IF(VLOOKUP(A12,Components!$A$8:$S$107,15,FALSE)="","",VLOOKUP(A12,Components!$A$8:$S$107,15,FALSE)))</f>
        <v/>
      </c>
      <c r="R12" s="14">
        <f>IF(OR(A12="",COUNTIF(Components!$A$8:$A$107,A12)&lt;&gt;1),"",IF(VLOOKUP(A12,Components!$A$8:$S$107,16,FALSE)="","",VLOOKUP(A12,Components!$A$8:$S$107,16,FALSE)))</f>
        <v/>
      </c>
      <c r="S12" s="14">
        <f>IF(OR(A12="",COUNTIF(Components!$A$8:$A$107,A12)&lt;&gt;1),"",IF(VLOOKUP(A12,Components!$A$8:$S$107,17,FALSE)="","",VLOOKUP(A12,Components!$A$8:$S$107,17,FALSE)))</f>
        <v/>
      </c>
      <c r="T12" s="15">
        <f>IF(OR(A12="",COUNTIF(Components!$A$8:$A$107,A12)&lt;&gt;1),"",IF(VLOOKUP(A12,Components!$A$8:$S$107,18,FALSE)="","",VLOOKUP(A12,Components!$A$8:$S$107,18,FALSE)))</f>
        <v/>
      </c>
      <c r="U12" s="15">
        <f>IF(OR(T12="",NOT(ISNUMBER(B12))),"",B12*T12)</f>
        <v/>
      </c>
    </row>
    <row r="13" ht="48" customHeight="1">
      <c r="A13" s="4" t="inlineStr">
        <is>
          <t>RFLT8WDC40G</t>
        </is>
      </c>
      <c r="B13" s="11" t="n">
        <v>8</v>
      </c>
      <c r="C13" s="6">
        <f>IF(A13="","",IF(COUNTIF(Components!$A$8:$A$107,A13)&lt;&gt;1,"Pending",VLOOKUP(A13,Components!$A$8:$F$107,5,FALSE)))</f>
        <v/>
      </c>
      <c r="D13" s="5" t="n"/>
      <c r="E13" s="6">
        <f>IF(A13="","",IF(ISBLANK(D13),C13,IF(AND(ISNUMBER(D13),D13&gt;=0),D13,"Pending")))</f>
        <v/>
      </c>
      <c r="F13" s="6">
        <f>IF(OR(G13="Catalog basis",G13="Override used"),B13*E13,"")</f>
        <v/>
      </c>
      <c r="G13" s="1">
        <f>IF(A13="",IF(OR(NOT(ISBLANK(B13)),NOT(ISBLANK(D13))),"Needs component",""),IF(COUNTIF(Components!$A$8:$A$107,A13)&lt;&gt;1,"Invalid component",IF(ISBLANK(B13),"Needs quantity",IF(NOT(ISNUMBER(B13)),"Invalid quantity",IF(OR(B13&lt;0,B13&lt;&gt;INT(B13)),"Invalid quantity",IF(NOT(ISNUMBER(E13)),"Needs heat input",IF(NOT(ISBLANK(D13)),"Override used","Catalog basis")))))))</f>
        <v/>
      </c>
      <c r="H13" s="1" t="n"/>
      <c r="I13" s="12">
        <f>IF(A13="","",IF(COUNTIF(Components!$A$8:$A$107,A13)&lt;&gt;1,"Select a unique catalog component",VLOOKUP(A13,Components!$A$8:$F$107,6,FALSE)))</f>
        <v/>
      </c>
      <c r="J13" s="1">
        <f>IF(OR(A13="",COUNTIF(Components!$A$8:$A$107,A13)&lt;&gt;1),"",IF(VLOOKUP(A13,Components!$A$8:$S$107,9,FALSE)="","",VLOOKUP(A13,Components!$A$8:$S$107,9,FALSE)))</f>
        <v/>
      </c>
      <c r="K13" s="14">
        <f>IF(OR(A13="",COUNTIF(Components!$A$8:$A$107,A13)&lt;&gt;1),"",IF(VLOOKUP(A13,Components!$A$8:$S$107,10,FALSE)="","",VLOOKUP(A13,Components!$A$8:$S$107,10,FALSE)))</f>
        <v/>
      </c>
      <c r="L13" s="14">
        <f>IF(OR(A13="",COUNTIF(Components!$A$8:$A$107,A13)&lt;&gt;1),"",IF(VLOOKUP(A13,Components!$A$8:$S$107,11,FALSE)="","",VLOOKUP(A13,Components!$A$8:$S$107,11,FALSE)))</f>
        <v/>
      </c>
      <c r="M13" s="14">
        <f>IF(OR(A13="",COUNTIF(Components!$A$8:$A$107,A13)&lt;&gt;1),"",IF(VLOOKUP(A13,Components!$A$8:$S$107,12,FALSE)="","",VLOOKUP(A13,Components!$A$8:$S$107,12,FALSE)))</f>
        <v/>
      </c>
      <c r="N13" s="15">
        <f>IF(OR(A13="",COUNTIF(Components!$A$8:$A$107,A13)&lt;&gt;1),"",IF(VLOOKUP(A13,Components!$A$8:$S$107,13,FALSE)="","",VLOOKUP(A13,Components!$A$8:$S$107,13,FALSE)))</f>
        <v/>
      </c>
      <c r="O13" s="15">
        <f>IF(OR(N13="",NOT(ISNUMBER(B13))),"",B13*N13)</f>
        <v/>
      </c>
      <c r="P13" s="1">
        <f>IF(OR(A13="",COUNTIF(Components!$A$8:$A$107,A13)&lt;&gt;1),"",IF(VLOOKUP(A13,Components!$A$8:$S$107,14,FALSE)="","",VLOOKUP(A13,Components!$A$8:$S$107,14,FALSE)))</f>
        <v/>
      </c>
      <c r="Q13" s="14">
        <f>IF(OR(A13="",COUNTIF(Components!$A$8:$A$107,A13)&lt;&gt;1),"",IF(VLOOKUP(A13,Components!$A$8:$S$107,15,FALSE)="","",VLOOKUP(A13,Components!$A$8:$S$107,15,FALSE)))</f>
        <v/>
      </c>
      <c r="R13" s="14">
        <f>IF(OR(A13="",COUNTIF(Components!$A$8:$A$107,A13)&lt;&gt;1),"",IF(VLOOKUP(A13,Components!$A$8:$S$107,16,FALSE)="","",VLOOKUP(A13,Components!$A$8:$S$107,16,FALSE)))</f>
        <v/>
      </c>
      <c r="S13" s="14">
        <f>IF(OR(A13="",COUNTIF(Components!$A$8:$A$107,A13)&lt;&gt;1),"",IF(VLOOKUP(A13,Components!$A$8:$S$107,17,FALSE)="","",VLOOKUP(A13,Components!$A$8:$S$107,17,FALSE)))</f>
        <v/>
      </c>
      <c r="T13" s="15">
        <f>IF(OR(A13="",COUNTIF(Components!$A$8:$A$107,A13)&lt;&gt;1),"",IF(VLOOKUP(A13,Components!$A$8:$S$107,18,FALSE)="","",VLOOKUP(A13,Components!$A$8:$S$107,18,FALSE)))</f>
        <v/>
      </c>
      <c r="U13" s="15">
        <f>IF(OR(T13="",NOT(ISNUMBER(B13))),"",B13*T13)</f>
        <v/>
      </c>
    </row>
    <row r="14" ht="48" customHeight="1">
      <c r="A14" s="4" t="n"/>
      <c r="B14" s="11" t="n"/>
      <c r="C14" s="6">
        <f>IF(A14="","",IF(COUNTIF(Components!$A$8:$A$107,A14)&lt;&gt;1,"Pending",VLOOKUP(A14,Components!$A$8:$F$107,5,FALSE)))</f>
        <v/>
      </c>
      <c r="D14" s="5" t="n"/>
      <c r="E14" s="6">
        <f>IF(A14="","",IF(ISBLANK(D14),C14,IF(AND(ISNUMBER(D14),D14&gt;=0),D14,"Pending")))</f>
        <v/>
      </c>
      <c r="F14" s="6">
        <f>IF(OR(G14="Catalog basis",G14="Override used"),B14*E14,"")</f>
        <v/>
      </c>
      <c r="G14" s="1">
        <f>IF(A14="",IF(OR(NOT(ISBLANK(B14)),NOT(ISBLANK(D14))),"Needs component",""),IF(COUNTIF(Components!$A$8:$A$107,A14)&lt;&gt;1,"Invalid component",IF(ISBLANK(B14),"Needs quantity",IF(NOT(ISNUMBER(B14)),"Invalid quantity",IF(OR(B14&lt;0,B14&lt;&gt;INT(B14)),"Invalid quantity",IF(NOT(ISNUMBER(E14)),"Needs heat input",IF(NOT(ISBLANK(D14)),"Override used","Catalog basis")))))))</f>
        <v/>
      </c>
      <c r="H14" s="1" t="n"/>
      <c r="I14" s="12">
        <f>IF(A14="","",IF(COUNTIF(Components!$A$8:$A$107,A14)&lt;&gt;1,"Select a unique catalog component",VLOOKUP(A14,Components!$A$8:$F$107,6,FALSE)))</f>
        <v/>
      </c>
      <c r="J14" s="1">
        <f>IF(OR(A14="",COUNTIF(Components!$A$8:$A$107,A14)&lt;&gt;1),"",IF(VLOOKUP(A14,Components!$A$8:$S$107,9,FALSE)="","",VLOOKUP(A14,Components!$A$8:$S$107,9,FALSE)))</f>
        <v/>
      </c>
      <c r="K14" s="14">
        <f>IF(OR(A14="",COUNTIF(Components!$A$8:$A$107,A14)&lt;&gt;1),"",IF(VLOOKUP(A14,Components!$A$8:$S$107,10,FALSE)="","",VLOOKUP(A14,Components!$A$8:$S$107,10,FALSE)))</f>
        <v/>
      </c>
      <c r="L14" s="14">
        <f>IF(OR(A14="",COUNTIF(Components!$A$8:$A$107,A14)&lt;&gt;1),"",IF(VLOOKUP(A14,Components!$A$8:$S$107,11,FALSE)="","",VLOOKUP(A14,Components!$A$8:$S$107,11,FALSE)))</f>
        <v/>
      </c>
      <c r="M14" s="14">
        <f>IF(OR(A14="",COUNTIF(Components!$A$8:$A$107,A14)&lt;&gt;1),"",IF(VLOOKUP(A14,Components!$A$8:$S$107,12,FALSE)="","",VLOOKUP(A14,Components!$A$8:$S$107,12,FALSE)))</f>
        <v/>
      </c>
      <c r="N14" s="15">
        <f>IF(OR(A14="",COUNTIF(Components!$A$8:$A$107,A14)&lt;&gt;1),"",IF(VLOOKUP(A14,Components!$A$8:$S$107,13,FALSE)="","",VLOOKUP(A14,Components!$A$8:$S$107,13,FALSE)))</f>
        <v/>
      </c>
      <c r="O14" s="15">
        <f>IF(OR(N14="",NOT(ISNUMBER(B14))),"",B14*N14)</f>
        <v/>
      </c>
      <c r="P14" s="1">
        <f>IF(OR(A14="",COUNTIF(Components!$A$8:$A$107,A14)&lt;&gt;1),"",IF(VLOOKUP(A14,Components!$A$8:$S$107,14,FALSE)="","",VLOOKUP(A14,Components!$A$8:$S$107,14,FALSE)))</f>
        <v/>
      </c>
      <c r="Q14" s="14">
        <f>IF(OR(A14="",COUNTIF(Components!$A$8:$A$107,A14)&lt;&gt;1),"",IF(VLOOKUP(A14,Components!$A$8:$S$107,15,FALSE)="","",VLOOKUP(A14,Components!$A$8:$S$107,15,FALSE)))</f>
        <v/>
      </c>
      <c r="R14" s="14">
        <f>IF(OR(A14="",COUNTIF(Components!$A$8:$A$107,A14)&lt;&gt;1),"",IF(VLOOKUP(A14,Components!$A$8:$S$107,16,FALSE)="","",VLOOKUP(A14,Components!$A$8:$S$107,16,FALSE)))</f>
        <v/>
      </c>
      <c r="S14" s="14">
        <f>IF(OR(A14="",COUNTIF(Components!$A$8:$A$107,A14)&lt;&gt;1),"",IF(VLOOKUP(A14,Components!$A$8:$S$107,17,FALSE)="","",VLOOKUP(A14,Components!$A$8:$S$107,17,FALSE)))</f>
        <v/>
      </c>
      <c r="T14" s="15">
        <f>IF(OR(A14="",COUNTIF(Components!$A$8:$A$107,A14)&lt;&gt;1),"",IF(VLOOKUP(A14,Components!$A$8:$S$107,18,FALSE)="","",VLOOKUP(A14,Components!$A$8:$S$107,18,FALSE)))</f>
        <v/>
      </c>
      <c r="U14" s="15">
        <f>IF(OR(T14="",NOT(ISNUMBER(B14))),"",B14*T14)</f>
        <v/>
      </c>
    </row>
    <row r="15" ht="48" customHeight="1">
      <c r="A15" s="4" t="n"/>
      <c r="B15" s="11" t="n"/>
      <c r="C15" s="6">
        <f>IF(A15="","",IF(COUNTIF(Components!$A$8:$A$107,A15)&lt;&gt;1,"Pending",VLOOKUP(A15,Components!$A$8:$F$107,5,FALSE)))</f>
        <v/>
      </c>
      <c r="D15" s="5" t="n"/>
      <c r="E15" s="6">
        <f>IF(A15="","",IF(ISBLANK(D15),C15,IF(AND(ISNUMBER(D15),D15&gt;=0),D15,"Pending")))</f>
        <v/>
      </c>
      <c r="F15" s="6">
        <f>IF(OR(G15="Catalog basis",G15="Override used"),B15*E15,"")</f>
        <v/>
      </c>
      <c r="G15" s="1">
        <f>IF(A15="",IF(OR(NOT(ISBLANK(B15)),NOT(ISBLANK(D15))),"Needs component",""),IF(COUNTIF(Components!$A$8:$A$107,A15)&lt;&gt;1,"Invalid component",IF(ISBLANK(B15),"Needs quantity",IF(NOT(ISNUMBER(B15)),"Invalid quantity",IF(OR(B15&lt;0,B15&lt;&gt;INT(B15)),"Invalid quantity",IF(NOT(ISNUMBER(E15)),"Needs heat input",IF(NOT(ISBLANK(D15)),"Override used","Catalog basis")))))))</f>
        <v/>
      </c>
      <c r="H15" s="1" t="n"/>
      <c r="I15" s="12">
        <f>IF(A15="","",IF(COUNTIF(Components!$A$8:$A$107,A15)&lt;&gt;1,"Select a unique catalog component",VLOOKUP(A15,Components!$A$8:$F$107,6,FALSE)))</f>
        <v/>
      </c>
      <c r="J15" s="1">
        <f>IF(OR(A15="",COUNTIF(Components!$A$8:$A$107,A15)&lt;&gt;1),"",IF(VLOOKUP(A15,Components!$A$8:$S$107,9,FALSE)="","",VLOOKUP(A15,Components!$A$8:$S$107,9,FALSE)))</f>
        <v/>
      </c>
      <c r="K15" s="14">
        <f>IF(OR(A15="",COUNTIF(Components!$A$8:$A$107,A15)&lt;&gt;1),"",IF(VLOOKUP(A15,Components!$A$8:$S$107,10,FALSE)="","",VLOOKUP(A15,Components!$A$8:$S$107,10,FALSE)))</f>
        <v/>
      </c>
      <c r="L15" s="14">
        <f>IF(OR(A15="",COUNTIF(Components!$A$8:$A$107,A15)&lt;&gt;1),"",IF(VLOOKUP(A15,Components!$A$8:$S$107,11,FALSE)="","",VLOOKUP(A15,Components!$A$8:$S$107,11,FALSE)))</f>
        <v/>
      </c>
      <c r="M15" s="14">
        <f>IF(OR(A15="",COUNTIF(Components!$A$8:$A$107,A15)&lt;&gt;1),"",IF(VLOOKUP(A15,Components!$A$8:$S$107,12,FALSE)="","",VLOOKUP(A15,Components!$A$8:$S$107,12,FALSE)))</f>
        <v/>
      </c>
      <c r="N15" s="15">
        <f>IF(OR(A15="",COUNTIF(Components!$A$8:$A$107,A15)&lt;&gt;1),"",IF(VLOOKUP(A15,Components!$A$8:$S$107,13,FALSE)="","",VLOOKUP(A15,Components!$A$8:$S$107,13,FALSE)))</f>
        <v/>
      </c>
      <c r="O15" s="15">
        <f>IF(OR(N15="",NOT(ISNUMBER(B15))),"",B15*N15)</f>
        <v/>
      </c>
      <c r="P15" s="1">
        <f>IF(OR(A15="",COUNTIF(Components!$A$8:$A$107,A15)&lt;&gt;1),"",IF(VLOOKUP(A15,Components!$A$8:$S$107,14,FALSE)="","",VLOOKUP(A15,Components!$A$8:$S$107,14,FALSE)))</f>
        <v/>
      </c>
      <c r="Q15" s="14">
        <f>IF(OR(A15="",COUNTIF(Components!$A$8:$A$107,A15)&lt;&gt;1),"",IF(VLOOKUP(A15,Components!$A$8:$S$107,15,FALSE)="","",VLOOKUP(A15,Components!$A$8:$S$107,15,FALSE)))</f>
        <v/>
      </c>
      <c r="R15" s="14">
        <f>IF(OR(A15="",COUNTIF(Components!$A$8:$A$107,A15)&lt;&gt;1),"",IF(VLOOKUP(A15,Components!$A$8:$S$107,16,FALSE)="","",VLOOKUP(A15,Components!$A$8:$S$107,16,FALSE)))</f>
        <v/>
      </c>
      <c r="S15" s="14">
        <f>IF(OR(A15="",COUNTIF(Components!$A$8:$A$107,A15)&lt;&gt;1),"",IF(VLOOKUP(A15,Components!$A$8:$S$107,17,FALSE)="","",VLOOKUP(A15,Components!$A$8:$S$107,17,FALSE)))</f>
        <v/>
      </c>
      <c r="T15" s="15">
        <f>IF(OR(A15="",COUNTIF(Components!$A$8:$A$107,A15)&lt;&gt;1),"",IF(VLOOKUP(A15,Components!$A$8:$S$107,18,FALSE)="","",VLOOKUP(A15,Components!$A$8:$S$107,18,FALSE)))</f>
        <v/>
      </c>
      <c r="U15" s="15">
        <f>IF(OR(T15="",NOT(ISNUMBER(B15))),"",B15*T15)</f>
        <v/>
      </c>
    </row>
    <row r="16" ht="48" customHeight="1">
      <c r="A16" s="4" t="n"/>
      <c r="B16" s="11" t="n"/>
      <c r="C16" s="6">
        <f>IF(A16="","",IF(COUNTIF(Components!$A$8:$A$107,A16)&lt;&gt;1,"Pending",VLOOKUP(A16,Components!$A$8:$F$107,5,FALSE)))</f>
        <v/>
      </c>
      <c r="D16" s="5" t="n"/>
      <c r="E16" s="6">
        <f>IF(A16="","",IF(ISBLANK(D16),C16,IF(AND(ISNUMBER(D16),D16&gt;=0),D16,"Pending")))</f>
        <v/>
      </c>
      <c r="F16" s="6">
        <f>IF(OR(G16="Catalog basis",G16="Override used"),B16*E16,"")</f>
        <v/>
      </c>
      <c r="G16" s="1">
        <f>IF(A16="",IF(OR(NOT(ISBLANK(B16)),NOT(ISBLANK(D16))),"Needs component",""),IF(COUNTIF(Components!$A$8:$A$107,A16)&lt;&gt;1,"Invalid component",IF(ISBLANK(B16),"Needs quantity",IF(NOT(ISNUMBER(B16)),"Invalid quantity",IF(OR(B16&lt;0,B16&lt;&gt;INT(B16)),"Invalid quantity",IF(NOT(ISNUMBER(E16)),"Needs heat input",IF(NOT(ISBLANK(D16)),"Override used","Catalog basis")))))))</f>
        <v/>
      </c>
      <c r="H16" s="1" t="n"/>
      <c r="I16" s="12">
        <f>IF(A16="","",IF(COUNTIF(Components!$A$8:$A$107,A16)&lt;&gt;1,"Select a unique catalog component",VLOOKUP(A16,Components!$A$8:$F$107,6,FALSE)))</f>
        <v/>
      </c>
      <c r="J16" s="1">
        <f>IF(OR(A16="",COUNTIF(Components!$A$8:$A$107,A16)&lt;&gt;1),"",IF(VLOOKUP(A16,Components!$A$8:$S$107,9,FALSE)="","",VLOOKUP(A16,Components!$A$8:$S$107,9,FALSE)))</f>
        <v/>
      </c>
      <c r="K16" s="14">
        <f>IF(OR(A16="",COUNTIF(Components!$A$8:$A$107,A16)&lt;&gt;1),"",IF(VLOOKUP(A16,Components!$A$8:$S$107,10,FALSE)="","",VLOOKUP(A16,Components!$A$8:$S$107,10,FALSE)))</f>
        <v/>
      </c>
      <c r="L16" s="14">
        <f>IF(OR(A16="",COUNTIF(Components!$A$8:$A$107,A16)&lt;&gt;1),"",IF(VLOOKUP(A16,Components!$A$8:$S$107,11,FALSE)="","",VLOOKUP(A16,Components!$A$8:$S$107,11,FALSE)))</f>
        <v/>
      </c>
      <c r="M16" s="14">
        <f>IF(OR(A16="",COUNTIF(Components!$A$8:$A$107,A16)&lt;&gt;1),"",IF(VLOOKUP(A16,Components!$A$8:$S$107,12,FALSE)="","",VLOOKUP(A16,Components!$A$8:$S$107,12,FALSE)))</f>
        <v/>
      </c>
      <c r="N16" s="15">
        <f>IF(OR(A16="",COUNTIF(Components!$A$8:$A$107,A16)&lt;&gt;1),"",IF(VLOOKUP(A16,Components!$A$8:$S$107,13,FALSE)="","",VLOOKUP(A16,Components!$A$8:$S$107,13,FALSE)))</f>
        <v/>
      </c>
      <c r="O16" s="15">
        <f>IF(OR(N16="",NOT(ISNUMBER(B16))),"",B16*N16)</f>
        <v/>
      </c>
      <c r="P16" s="1">
        <f>IF(OR(A16="",COUNTIF(Components!$A$8:$A$107,A16)&lt;&gt;1),"",IF(VLOOKUP(A16,Components!$A$8:$S$107,14,FALSE)="","",VLOOKUP(A16,Components!$A$8:$S$107,14,FALSE)))</f>
        <v/>
      </c>
      <c r="Q16" s="14">
        <f>IF(OR(A16="",COUNTIF(Components!$A$8:$A$107,A16)&lt;&gt;1),"",IF(VLOOKUP(A16,Components!$A$8:$S$107,15,FALSE)="","",VLOOKUP(A16,Components!$A$8:$S$107,15,FALSE)))</f>
        <v/>
      </c>
      <c r="R16" s="14">
        <f>IF(OR(A16="",COUNTIF(Components!$A$8:$A$107,A16)&lt;&gt;1),"",IF(VLOOKUP(A16,Components!$A$8:$S$107,16,FALSE)="","",VLOOKUP(A16,Components!$A$8:$S$107,16,FALSE)))</f>
        <v/>
      </c>
      <c r="S16" s="14">
        <f>IF(OR(A16="",COUNTIF(Components!$A$8:$A$107,A16)&lt;&gt;1),"",IF(VLOOKUP(A16,Components!$A$8:$S$107,17,FALSE)="","",VLOOKUP(A16,Components!$A$8:$S$107,17,FALSE)))</f>
        <v/>
      </c>
      <c r="T16" s="15">
        <f>IF(OR(A16="",COUNTIF(Components!$A$8:$A$107,A16)&lt;&gt;1),"",IF(VLOOKUP(A16,Components!$A$8:$S$107,18,FALSE)="","",VLOOKUP(A16,Components!$A$8:$S$107,18,FALSE)))</f>
        <v/>
      </c>
      <c r="U16" s="15">
        <f>IF(OR(T16="",NOT(ISNUMBER(B16))),"",B16*T16)</f>
        <v/>
      </c>
    </row>
    <row r="17" ht="48" customHeight="1">
      <c r="A17" s="4" t="n"/>
      <c r="B17" s="11" t="n"/>
      <c r="C17" s="6">
        <f>IF(A17="","",IF(COUNTIF(Components!$A$8:$A$107,A17)&lt;&gt;1,"Pending",VLOOKUP(A17,Components!$A$8:$F$107,5,FALSE)))</f>
        <v/>
      </c>
      <c r="D17" s="5" t="n"/>
      <c r="E17" s="6">
        <f>IF(A17="","",IF(ISBLANK(D17),C17,IF(AND(ISNUMBER(D17),D17&gt;=0),D17,"Pending")))</f>
        <v/>
      </c>
      <c r="F17" s="6">
        <f>IF(OR(G17="Catalog basis",G17="Override used"),B17*E17,"")</f>
        <v/>
      </c>
      <c r="G17" s="1">
        <f>IF(A17="",IF(OR(NOT(ISBLANK(B17)),NOT(ISBLANK(D17))),"Needs component",""),IF(COUNTIF(Components!$A$8:$A$107,A17)&lt;&gt;1,"Invalid component",IF(ISBLANK(B17),"Needs quantity",IF(NOT(ISNUMBER(B17)),"Invalid quantity",IF(OR(B17&lt;0,B17&lt;&gt;INT(B17)),"Invalid quantity",IF(NOT(ISNUMBER(E17)),"Needs heat input",IF(NOT(ISBLANK(D17)),"Override used","Catalog basis")))))))</f>
        <v/>
      </c>
      <c r="H17" s="1" t="n"/>
      <c r="I17" s="12">
        <f>IF(A17="","",IF(COUNTIF(Components!$A$8:$A$107,A17)&lt;&gt;1,"Select a unique catalog component",VLOOKUP(A17,Components!$A$8:$F$107,6,FALSE)))</f>
        <v/>
      </c>
      <c r="J17" s="1">
        <f>IF(OR(A17="",COUNTIF(Components!$A$8:$A$107,A17)&lt;&gt;1),"",IF(VLOOKUP(A17,Components!$A$8:$S$107,9,FALSE)="","",VLOOKUP(A17,Components!$A$8:$S$107,9,FALSE)))</f>
        <v/>
      </c>
      <c r="K17" s="14">
        <f>IF(OR(A17="",COUNTIF(Components!$A$8:$A$107,A17)&lt;&gt;1),"",IF(VLOOKUP(A17,Components!$A$8:$S$107,10,FALSE)="","",VLOOKUP(A17,Components!$A$8:$S$107,10,FALSE)))</f>
        <v/>
      </c>
      <c r="L17" s="14">
        <f>IF(OR(A17="",COUNTIF(Components!$A$8:$A$107,A17)&lt;&gt;1),"",IF(VLOOKUP(A17,Components!$A$8:$S$107,11,FALSE)="","",VLOOKUP(A17,Components!$A$8:$S$107,11,FALSE)))</f>
        <v/>
      </c>
      <c r="M17" s="14">
        <f>IF(OR(A17="",COUNTIF(Components!$A$8:$A$107,A17)&lt;&gt;1),"",IF(VLOOKUP(A17,Components!$A$8:$S$107,12,FALSE)="","",VLOOKUP(A17,Components!$A$8:$S$107,12,FALSE)))</f>
        <v/>
      </c>
      <c r="N17" s="15">
        <f>IF(OR(A17="",COUNTIF(Components!$A$8:$A$107,A17)&lt;&gt;1),"",IF(VLOOKUP(A17,Components!$A$8:$S$107,13,FALSE)="","",VLOOKUP(A17,Components!$A$8:$S$107,13,FALSE)))</f>
        <v/>
      </c>
      <c r="O17" s="15">
        <f>IF(OR(N17="",NOT(ISNUMBER(B17))),"",B17*N17)</f>
        <v/>
      </c>
      <c r="P17" s="1">
        <f>IF(OR(A17="",COUNTIF(Components!$A$8:$A$107,A17)&lt;&gt;1),"",IF(VLOOKUP(A17,Components!$A$8:$S$107,14,FALSE)="","",VLOOKUP(A17,Components!$A$8:$S$107,14,FALSE)))</f>
        <v/>
      </c>
      <c r="Q17" s="14">
        <f>IF(OR(A17="",COUNTIF(Components!$A$8:$A$107,A17)&lt;&gt;1),"",IF(VLOOKUP(A17,Components!$A$8:$S$107,15,FALSE)="","",VLOOKUP(A17,Components!$A$8:$S$107,15,FALSE)))</f>
        <v/>
      </c>
      <c r="R17" s="14">
        <f>IF(OR(A17="",COUNTIF(Components!$A$8:$A$107,A17)&lt;&gt;1),"",IF(VLOOKUP(A17,Components!$A$8:$S$107,16,FALSE)="","",VLOOKUP(A17,Components!$A$8:$S$107,16,FALSE)))</f>
        <v/>
      </c>
      <c r="S17" s="14">
        <f>IF(OR(A17="",COUNTIF(Components!$A$8:$A$107,A17)&lt;&gt;1),"",IF(VLOOKUP(A17,Components!$A$8:$S$107,17,FALSE)="","",VLOOKUP(A17,Components!$A$8:$S$107,17,FALSE)))</f>
        <v/>
      </c>
      <c r="T17" s="15">
        <f>IF(OR(A17="",COUNTIF(Components!$A$8:$A$107,A17)&lt;&gt;1),"",IF(VLOOKUP(A17,Components!$A$8:$S$107,18,FALSE)="","",VLOOKUP(A17,Components!$A$8:$S$107,18,FALSE)))</f>
        <v/>
      </c>
      <c r="U17" s="15">
        <f>IF(OR(T17="",NOT(ISNUMBER(B17))),"",B17*T17)</f>
        <v/>
      </c>
    </row>
    <row r="18" ht="48" customHeight="1">
      <c r="A18" s="4" t="n"/>
      <c r="B18" s="11" t="n"/>
      <c r="C18" s="6">
        <f>IF(A18="","",IF(COUNTIF(Components!$A$8:$A$107,A18)&lt;&gt;1,"Pending",VLOOKUP(A18,Components!$A$8:$F$107,5,FALSE)))</f>
        <v/>
      </c>
      <c r="D18" s="5" t="n"/>
      <c r="E18" s="6">
        <f>IF(A18="","",IF(ISBLANK(D18),C18,IF(AND(ISNUMBER(D18),D18&gt;=0),D18,"Pending")))</f>
        <v/>
      </c>
      <c r="F18" s="6">
        <f>IF(OR(G18="Catalog basis",G18="Override used"),B18*E18,"")</f>
        <v/>
      </c>
      <c r="G18" s="1">
        <f>IF(A18="",IF(OR(NOT(ISBLANK(B18)),NOT(ISBLANK(D18))),"Needs component",""),IF(COUNTIF(Components!$A$8:$A$107,A18)&lt;&gt;1,"Invalid component",IF(ISBLANK(B18),"Needs quantity",IF(NOT(ISNUMBER(B18)),"Invalid quantity",IF(OR(B18&lt;0,B18&lt;&gt;INT(B18)),"Invalid quantity",IF(NOT(ISNUMBER(E18)),"Needs heat input",IF(NOT(ISBLANK(D18)),"Override used","Catalog basis")))))))</f>
        <v/>
      </c>
      <c r="H18" s="1" t="n"/>
      <c r="I18" s="12">
        <f>IF(A18="","",IF(COUNTIF(Components!$A$8:$A$107,A18)&lt;&gt;1,"Select a unique catalog component",VLOOKUP(A18,Components!$A$8:$F$107,6,FALSE)))</f>
        <v/>
      </c>
      <c r="J18" s="1">
        <f>IF(OR(A18="",COUNTIF(Components!$A$8:$A$107,A18)&lt;&gt;1),"",IF(VLOOKUP(A18,Components!$A$8:$S$107,9,FALSE)="","",VLOOKUP(A18,Components!$A$8:$S$107,9,FALSE)))</f>
        <v/>
      </c>
      <c r="K18" s="14">
        <f>IF(OR(A18="",COUNTIF(Components!$A$8:$A$107,A18)&lt;&gt;1),"",IF(VLOOKUP(A18,Components!$A$8:$S$107,10,FALSE)="","",VLOOKUP(A18,Components!$A$8:$S$107,10,FALSE)))</f>
        <v/>
      </c>
      <c r="L18" s="14">
        <f>IF(OR(A18="",COUNTIF(Components!$A$8:$A$107,A18)&lt;&gt;1),"",IF(VLOOKUP(A18,Components!$A$8:$S$107,11,FALSE)="","",VLOOKUP(A18,Components!$A$8:$S$107,11,FALSE)))</f>
        <v/>
      </c>
      <c r="M18" s="14">
        <f>IF(OR(A18="",COUNTIF(Components!$A$8:$A$107,A18)&lt;&gt;1),"",IF(VLOOKUP(A18,Components!$A$8:$S$107,12,FALSE)="","",VLOOKUP(A18,Components!$A$8:$S$107,12,FALSE)))</f>
        <v/>
      </c>
      <c r="N18" s="15">
        <f>IF(OR(A18="",COUNTIF(Components!$A$8:$A$107,A18)&lt;&gt;1),"",IF(VLOOKUP(A18,Components!$A$8:$S$107,13,FALSE)="","",VLOOKUP(A18,Components!$A$8:$S$107,13,FALSE)))</f>
        <v/>
      </c>
      <c r="O18" s="15">
        <f>IF(OR(N18="",NOT(ISNUMBER(B18))),"",B18*N18)</f>
        <v/>
      </c>
      <c r="P18" s="1">
        <f>IF(OR(A18="",COUNTIF(Components!$A$8:$A$107,A18)&lt;&gt;1),"",IF(VLOOKUP(A18,Components!$A$8:$S$107,14,FALSE)="","",VLOOKUP(A18,Components!$A$8:$S$107,14,FALSE)))</f>
        <v/>
      </c>
      <c r="Q18" s="14">
        <f>IF(OR(A18="",COUNTIF(Components!$A$8:$A$107,A18)&lt;&gt;1),"",IF(VLOOKUP(A18,Components!$A$8:$S$107,15,FALSE)="","",VLOOKUP(A18,Components!$A$8:$S$107,15,FALSE)))</f>
        <v/>
      </c>
      <c r="R18" s="14">
        <f>IF(OR(A18="",COUNTIF(Components!$A$8:$A$107,A18)&lt;&gt;1),"",IF(VLOOKUP(A18,Components!$A$8:$S$107,16,FALSE)="","",VLOOKUP(A18,Components!$A$8:$S$107,16,FALSE)))</f>
        <v/>
      </c>
      <c r="S18" s="14">
        <f>IF(OR(A18="",COUNTIF(Components!$A$8:$A$107,A18)&lt;&gt;1),"",IF(VLOOKUP(A18,Components!$A$8:$S$107,17,FALSE)="","",VLOOKUP(A18,Components!$A$8:$S$107,17,FALSE)))</f>
        <v/>
      </c>
      <c r="T18" s="15">
        <f>IF(OR(A18="",COUNTIF(Components!$A$8:$A$107,A18)&lt;&gt;1),"",IF(VLOOKUP(A18,Components!$A$8:$S$107,18,FALSE)="","",VLOOKUP(A18,Components!$A$8:$S$107,18,FALSE)))</f>
        <v/>
      </c>
      <c r="U18" s="15">
        <f>IF(OR(T18="",NOT(ISNUMBER(B18))),"",B18*T18)</f>
        <v/>
      </c>
    </row>
    <row r="19" ht="48" customHeight="1">
      <c r="A19" s="4" t="n"/>
      <c r="B19" s="11" t="n"/>
      <c r="C19" s="6">
        <f>IF(A19="","",IF(COUNTIF(Components!$A$8:$A$107,A19)&lt;&gt;1,"Pending",VLOOKUP(A19,Components!$A$8:$F$107,5,FALSE)))</f>
        <v/>
      </c>
      <c r="D19" s="5" t="n"/>
      <c r="E19" s="6">
        <f>IF(A19="","",IF(ISBLANK(D19),C19,IF(AND(ISNUMBER(D19),D19&gt;=0),D19,"Pending")))</f>
        <v/>
      </c>
      <c r="F19" s="6">
        <f>IF(OR(G19="Catalog basis",G19="Override used"),B19*E19,"")</f>
        <v/>
      </c>
      <c r="G19" s="1">
        <f>IF(A19="",IF(OR(NOT(ISBLANK(B19)),NOT(ISBLANK(D19))),"Needs component",""),IF(COUNTIF(Components!$A$8:$A$107,A19)&lt;&gt;1,"Invalid component",IF(ISBLANK(B19),"Needs quantity",IF(NOT(ISNUMBER(B19)),"Invalid quantity",IF(OR(B19&lt;0,B19&lt;&gt;INT(B19)),"Invalid quantity",IF(NOT(ISNUMBER(E19)),"Needs heat input",IF(NOT(ISBLANK(D19)),"Override used","Catalog basis")))))))</f>
        <v/>
      </c>
      <c r="H19" s="1" t="n"/>
      <c r="I19" s="12">
        <f>IF(A19="","",IF(COUNTIF(Components!$A$8:$A$107,A19)&lt;&gt;1,"Select a unique catalog component",VLOOKUP(A19,Components!$A$8:$F$107,6,FALSE)))</f>
        <v/>
      </c>
      <c r="J19" s="1">
        <f>IF(OR(A19="",COUNTIF(Components!$A$8:$A$107,A19)&lt;&gt;1),"",IF(VLOOKUP(A19,Components!$A$8:$S$107,9,FALSE)="","",VLOOKUP(A19,Components!$A$8:$S$107,9,FALSE)))</f>
        <v/>
      </c>
      <c r="K19" s="14">
        <f>IF(OR(A19="",COUNTIF(Components!$A$8:$A$107,A19)&lt;&gt;1),"",IF(VLOOKUP(A19,Components!$A$8:$S$107,10,FALSE)="","",VLOOKUP(A19,Components!$A$8:$S$107,10,FALSE)))</f>
        <v/>
      </c>
      <c r="L19" s="14">
        <f>IF(OR(A19="",COUNTIF(Components!$A$8:$A$107,A19)&lt;&gt;1),"",IF(VLOOKUP(A19,Components!$A$8:$S$107,11,FALSE)="","",VLOOKUP(A19,Components!$A$8:$S$107,11,FALSE)))</f>
        <v/>
      </c>
      <c r="M19" s="14">
        <f>IF(OR(A19="",COUNTIF(Components!$A$8:$A$107,A19)&lt;&gt;1),"",IF(VLOOKUP(A19,Components!$A$8:$S$107,12,FALSE)="","",VLOOKUP(A19,Components!$A$8:$S$107,12,FALSE)))</f>
        <v/>
      </c>
      <c r="N19" s="15">
        <f>IF(OR(A19="",COUNTIF(Components!$A$8:$A$107,A19)&lt;&gt;1),"",IF(VLOOKUP(A19,Components!$A$8:$S$107,13,FALSE)="","",VLOOKUP(A19,Components!$A$8:$S$107,13,FALSE)))</f>
        <v/>
      </c>
      <c r="O19" s="15">
        <f>IF(OR(N19="",NOT(ISNUMBER(B19))),"",B19*N19)</f>
        <v/>
      </c>
      <c r="P19" s="1">
        <f>IF(OR(A19="",COUNTIF(Components!$A$8:$A$107,A19)&lt;&gt;1),"",IF(VLOOKUP(A19,Components!$A$8:$S$107,14,FALSE)="","",VLOOKUP(A19,Components!$A$8:$S$107,14,FALSE)))</f>
        <v/>
      </c>
      <c r="Q19" s="14">
        <f>IF(OR(A19="",COUNTIF(Components!$A$8:$A$107,A19)&lt;&gt;1),"",IF(VLOOKUP(A19,Components!$A$8:$S$107,15,FALSE)="","",VLOOKUP(A19,Components!$A$8:$S$107,15,FALSE)))</f>
        <v/>
      </c>
      <c r="R19" s="14">
        <f>IF(OR(A19="",COUNTIF(Components!$A$8:$A$107,A19)&lt;&gt;1),"",IF(VLOOKUP(A19,Components!$A$8:$S$107,16,FALSE)="","",VLOOKUP(A19,Components!$A$8:$S$107,16,FALSE)))</f>
        <v/>
      </c>
      <c r="S19" s="14">
        <f>IF(OR(A19="",COUNTIF(Components!$A$8:$A$107,A19)&lt;&gt;1),"",IF(VLOOKUP(A19,Components!$A$8:$S$107,17,FALSE)="","",VLOOKUP(A19,Components!$A$8:$S$107,17,FALSE)))</f>
        <v/>
      </c>
      <c r="T19" s="15">
        <f>IF(OR(A19="",COUNTIF(Components!$A$8:$A$107,A19)&lt;&gt;1),"",IF(VLOOKUP(A19,Components!$A$8:$S$107,18,FALSE)="","",VLOOKUP(A19,Components!$A$8:$S$107,18,FALSE)))</f>
        <v/>
      </c>
      <c r="U19" s="15">
        <f>IF(OR(T19="",NOT(ISNUMBER(B19))),"",B19*T19)</f>
        <v/>
      </c>
    </row>
    <row r="20" ht="48" customHeight="1">
      <c r="A20" s="4" t="n"/>
      <c r="B20" s="11" t="n"/>
      <c r="C20" s="6">
        <f>IF(A20="","",IF(COUNTIF(Components!$A$8:$A$107,A20)&lt;&gt;1,"Pending",VLOOKUP(A20,Components!$A$8:$F$107,5,FALSE)))</f>
        <v/>
      </c>
      <c r="D20" s="5" t="n"/>
      <c r="E20" s="6">
        <f>IF(A20="","",IF(ISBLANK(D20),C20,IF(AND(ISNUMBER(D20),D20&gt;=0),D20,"Pending")))</f>
        <v/>
      </c>
      <c r="F20" s="6">
        <f>IF(OR(G20="Catalog basis",G20="Override used"),B20*E20,"")</f>
        <v/>
      </c>
      <c r="G20" s="1">
        <f>IF(A20="",IF(OR(NOT(ISBLANK(B20)),NOT(ISBLANK(D20))),"Needs component",""),IF(COUNTIF(Components!$A$8:$A$107,A20)&lt;&gt;1,"Invalid component",IF(ISBLANK(B20),"Needs quantity",IF(NOT(ISNUMBER(B20)),"Invalid quantity",IF(OR(B20&lt;0,B20&lt;&gt;INT(B20)),"Invalid quantity",IF(NOT(ISNUMBER(E20)),"Needs heat input",IF(NOT(ISBLANK(D20)),"Override used","Catalog basis")))))))</f>
        <v/>
      </c>
      <c r="H20" s="1" t="n"/>
      <c r="I20" s="12">
        <f>IF(A20="","",IF(COUNTIF(Components!$A$8:$A$107,A20)&lt;&gt;1,"Select a unique catalog component",VLOOKUP(A20,Components!$A$8:$F$107,6,FALSE)))</f>
        <v/>
      </c>
      <c r="J20" s="1">
        <f>IF(OR(A20="",COUNTIF(Components!$A$8:$A$107,A20)&lt;&gt;1),"",IF(VLOOKUP(A20,Components!$A$8:$S$107,9,FALSE)="","",VLOOKUP(A20,Components!$A$8:$S$107,9,FALSE)))</f>
        <v/>
      </c>
      <c r="K20" s="14">
        <f>IF(OR(A20="",COUNTIF(Components!$A$8:$A$107,A20)&lt;&gt;1),"",IF(VLOOKUP(A20,Components!$A$8:$S$107,10,FALSE)="","",VLOOKUP(A20,Components!$A$8:$S$107,10,FALSE)))</f>
        <v/>
      </c>
      <c r="L20" s="14">
        <f>IF(OR(A20="",COUNTIF(Components!$A$8:$A$107,A20)&lt;&gt;1),"",IF(VLOOKUP(A20,Components!$A$8:$S$107,11,FALSE)="","",VLOOKUP(A20,Components!$A$8:$S$107,11,FALSE)))</f>
        <v/>
      </c>
      <c r="M20" s="14">
        <f>IF(OR(A20="",COUNTIF(Components!$A$8:$A$107,A20)&lt;&gt;1),"",IF(VLOOKUP(A20,Components!$A$8:$S$107,12,FALSE)="","",VLOOKUP(A20,Components!$A$8:$S$107,12,FALSE)))</f>
        <v/>
      </c>
      <c r="N20" s="15">
        <f>IF(OR(A20="",COUNTIF(Components!$A$8:$A$107,A20)&lt;&gt;1),"",IF(VLOOKUP(A20,Components!$A$8:$S$107,13,FALSE)="","",VLOOKUP(A20,Components!$A$8:$S$107,13,FALSE)))</f>
        <v/>
      </c>
      <c r="O20" s="15">
        <f>IF(OR(N20="",NOT(ISNUMBER(B20))),"",B20*N20)</f>
        <v/>
      </c>
      <c r="P20" s="1">
        <f>IF(OR(A20="",COUNTIF(Components!$A$8:$A$107,A20)&lt;&gt;1),"",IF(VLOOKUP(A20,Components!$A$8:$S$107,14,FALSE)="","",VLOOKUP(A20,Components!$A$8:$S$107,14,FALSE)))</f>
        <v/>
      </c>
      <c r="Q20" s="14">
        <f>IF(OR(A20="",COUNTIF(Components!$A$8:$A$107,A20)&lt;&gt;1),"",IF(VLOOKUP(A20,Components!$A$8:$S$107,15,FALSE)="","",VLOOKUP(A20,Components!$A$8:$S$107,15,FALSE)))</f>
        <v/>
      </c>
      <c r="R20" s="14">
        <f>IF(OR(A20="",COUNTIF(Components!$A$8:$A$107,A20)&lt;&gt;1),"",IF(VLOOKUP(A20,Components!$A$8:$S$107,16,FALSE)="","",VLOOKUP(A20,Components!$A$8:$S$107,16,FALSE)))</f>
        <v/>
      </c>
      <c r="S20" s="14">
        <f>IF(OR(A20="",COUNTIF(Components!$A$8:$A$107,A20)&lt;&gt;1),"",IF(VLOOKUP(A20,Components!$A$8:$S$107,17,FALSE)="","",VLOOKUP(A20,Components!$A$8:$S$107,17,FALSE)))</f>
        <v/>
      </c>
      <c r="T20" s="15">
        <f>IF(OR(A20="",COUNTIF(Components!$A$8:$A$107,A20)&lt;&gt;1),"",IF(VLOOKUP(A20,Components!$A$8:$S$107,18,FALSE)="","",VLOOKUP(A20,Components!$A$8:$S$107,18,FALSE)))</f>
        <v/>
      </c>
      <c r="U20" s="15">
        <f>IF(OR(T20="",NOT(ISNUMBER(B20))),"",B20*T20)</f>
        <v/>
      </c>
    </row>
    <row r="21" ht="48" customHeight="1">
      <c r="A21" s="4" t="n"/>
      <c r="B21" s="11" t="n"/>
      <c r="C21" s="6">
        <f>IF(A21="","",IF(COUNTIF(Components!$A$8:$A$107,A21)&lt;&gt;1,"Pending",VLOOKUP(A21,Components!$A$8:$F$107,5,FALSE)))</f>
        <v/>
      </c>
      <c r="D21" s="5" t="n"/>
      <c r="E21" s="6">
        <f>IF(A21="","",IF(ISBLANK(D21),C21,IF(AND(ISNUMBER(D21),D21&gt;=0),D21,"Pending")))</f>
        <v/>
      </c>
      <c r="F21" s="6">
        <f>IF(OR(G21="Catalog basis",G21="Override used"),B21*E21,"")</f>
        <v/>
      </c>
      <c r="G21" s="1">
        <f>IF(A21="",IF(OR(NOT(ISBLANK(B21)),NOT(ISBLANK(D21))),"Needs component",""),IF(COUNTIF(Components!$A$8:$A$107,A21)&lt;&gt;1,"Invalid component",IF(ISBLANK(B21),"Needs quantity",IF(NOT(ISNUMBER(B21)),"Invalid quantity",IF(OR(B21&lt;0,B21&lt;&gt;INT(B21)),"Invalid quantity",IF(NOT(ISNUMBER(E21)),"Needs heat input",IF(NOT(ISBLANK(D21)),"Override used","Catalog basis")))))))</f>
        <v/>
      </c>
      <c r="H21" s="1" t="n"/>
      <c r="I21" s="12">
        <f>IF(A21="","",IF(COUNTIF(Components!$A$8:$A$107,A21)&lt;&gt;1,"Select a unique catalog component",VLOOKUP(A21,Components!$A$8:$F$107,6,FALSE)))</f>
        <v/>
      </c>
      <c r="J21" s="1">
        <f>IF(OR(A21="",COUNTIF(Components!$A$8:$A$107,A21)&lt;&gt;1),"",IF(VLOOKUP(A21,Components!$A$8:$S$107,9,FALSE)="","",VLOOKUP(A21,Components!$A$8:$S$107,9,FALSE)))</f>
        <v/>
      </c>
      <c r="K21" s="14">
        <f>IF(OR(A21="",COUNTIF(Components!$A$8:$A$107,A21)&lt;&gt;1),"",IF(VLOOKUP(A21,Components!$A$8:$S$107,10,FALSE)="","",VLOOKUP(A21,Components!$A$8:$S$107,10,FALSE)))</f>
        <v/>
      </c>
      <c r="L21" s="14">
        <f>IF(OR(A21="",COUNTIF(Components!$A$8:$A$107,A21)&lt;&gt;1),"",IF(VLOOKUP(A21,Components!$A$8:$S$107,11,FALSE)="","",VLOOKUP(A21,Components!$A$8:$S$107,11,FALSE)))</f>
        <v/>
      </c>
      <c r="M21" s="14">
        <f>IF(OR(A21="",COUNTIF(Components!$A$8:$A$107,A21)&lt;&gt;1),"",IF(VLOOKUP(A21,Components!$A$8:$S$107,12,FALSE)="","",VLOOKUP(A21,Components!$A$8:$S$107,12,FALSE)))</f>
        <v/>
      </c>
      <c r="N21" s="15">
        <f>IF(OR(A21="",COUNTIF(Components!$A$8:$A$107,A21)&lt;&gt;1),"",IF(VLOOKUP(A21,Components!$A$8:$S$107,13,FALSE)="","",VLOOKUP(A21,Components!$A$8:$S$107,13,FALSE)))</f>
        <v/>
      </c>
      <c r="O21" s="15">
        <f>IF(OR(N21="",NOT(ISNUMBER(B21))),"",B21*N21)</f>
        <v/>
      </c>
      <c r="P21" s="1">
        <f>IF(OR(A21="",COUNTIF(Components!$A$8:$A$107,A21)&lt;&gt;1),"",IF(VLOOKUP(A21,Components!$A$8:$S$107,14,FALSE)="","",VLOOKUP(A21,Components!$A$8:$S$107,14,FALSE)))</f>
        <v/>
      </c>
      <c r="Q21" s="14">
        <f>IF(OR(A21="",COUNTIF(Components!$A$8:$A$107,A21)&lt;&gt;1),"",IF(VLOOKUP(A21,Components!$A$8:$S$107,15,FALSE)="","",VLOOKUP(A21,Components!$A$8:$S$107,15,FALSE)))</f>
        <v/>
      </c>
      <c r="R21" s="14">
        <f>IF(OR(A21="",COUNTIF(Components!$A$8:$A$107,A21)&lt;&gt;1),"",IF(VLOOKUP(A21,Components!$A$8:$S$107,16,FALSE)="","",VLOOKUP(A21,Components!$A$8:$S$107,16,FALSE)))</f>
        <v/>
      </c>
      <c r="S21" s="14">
        <f>IF(OR(A21="",COUNTIF(Components!$A$8:$A$107,A21)&lt;&gt;1),"",IF(VLOOKUP(A21,Components!$A$8:$S$107,17,FALSE)="","",VLOOKUP(A21,Components!$A$8:$S$107,17,FALSE)))</f>
        <v/>
      </c>
      <c r="T21" s="15">
        <f>IF(OR(A21="",COUNTIF(Components!$A$8:$A$107,A21)&lt;&gt;1),"",IF(VLOOKUP(A21,Components!$A$8:$S$107,18,FALSE)="","",VLOOKUP(A21,Components!$A$8:$S$107,18,FALSE)))</f>
        <v/>
      </c>
      <c r="U21" s="15">
        <f>IF(OR(T21="",NOT(ISNUMBER(B21))),"",B21*T21)</f>
        <v/>
      </c>
    </row>
    <row r="22" ht="48" customHeight="1">
      <c r="A22" s="4" t="n"/>
      <c r="B22" s="11" t="n"/>
      <c r="C22" s="6">
        <f>IF(A22="","",IF(COUNTIF(Components!$A$8:$A$107,A22)&lt;&gt;1,"Pending",VLOOKUP(A22,Components!$A$8:$F$107,5,FALSE)))</f>
        <v/>
      </c>
      <c r="D22" s="5" t="n"/>
      <c r="E22" s="6">
        <f>IF(A22="","",IF(ISBLANK(D22),C22,IF(AND(ISNUMBER(D22),D22&gt;=0),D22,"Pending")))</f>
        <v/>
      </c>
      <c r="F22" s="6">
        <f>IF(OR(G22="Catalog basis",G22="Override used"),B22*E22,"")</f>
        <v/>
      </c>
      <c r="G22" s="1">
        <f>IF(A22="",IF(OR(NOT(ISBLANK(B22)),NOT(ISBLANK(D22))),"Needs component",""),IF(COUNTIF(Components!$A$8:$A$107,A22)&lt;&gt;1,"Invalid component",IF(ISBLANK(B22),"Needs quantity",IF(NOT(ISNUMBER(B22)),"Invalid quantity",IF(OR(B22&lt;0,B22&lt;&gt;INT(B22)),"Invalid quantity",IF(NOT(ISNUMBER(E22)),"Needs heat input",IF(NOT(ISBLANK(D22)),"Override used","Catalog basis")))))))</f>
        <v/>
      </c>
      <c r="H22" s="1" t="n"/>
      <c r="I22" s="12">
        <f>IF(A22="","",IF(COUNTIF(Components!$A$8:$A$107,A22)&lt;&gt;1,"Select a unique catalog component",VLOOKUP(A22,Components!$A$8:$F$107,6,FALSE)))</f>
        <v/>
      </c>
      <c r="J22" s="1">
        <f>IF(OR(A22="",COUNTIF(Components!$A$8:$A$107,A22)&lt;&gt;1),"",IF(VLOOKUP(A22,Components!$A$8:$S$107,9,FALSE)="","",VLOOKUP(A22,Components!$A$8:$S$107,9,FALSE)))</f>
        <v/>
      </c>
      <c r="K22" s="14">
        <f>IF(OR(A22="",COUNTIF(Components!$A$8:$A$107,A22)&lt;&gt;1),"",IF(VLOOKUP(A22,Components!$A$8:$S$107,10,FALSE)="","",VLOOKUP(A22,Components!$A$8:$S$107,10,FALSE)))</f>
        <v/>
      </c>
      <c r="L22" s="14">
        <f>IF(OR(A22="",COUNTIF(Components!$A$8:$A$107,A22)&lt;&gt;1),"",IF(VLOOKUP(A22,Components!$A$8:$S$107,11,FALSE)="","",VLOOKUP(A22,Components!$A$8:$S$107,11,FALSE)))</f>
        <v/>
      </c>
      <c r="M22" s="14">
        <f>IF(OR(A22="",COUNTIF(Components!$A$8:$A$107,A22)&lt;&gt;1),"",IF(VLOOKUP(A22,Components!$A$8:$S$107,12,FALSE)="","",VLOOKUP(A22,Components!$A$8:$S$107,12,FALSE)))</f>
        <v/>
      </c>
      <c r="N22" s="15">
        <f>IF(OR(A22="",COUNTIF(Components!$A$8:$A$107,A22)&lt;&gt;1),"",IF(VLOOKUP(A22,Components!$A$8:$S$107,13,FALSE)="","",VLOOKUP(A22,Components!$A$8:$S$107,13,FALSE)))</f>
        <v/>
      </c>
      <c r="O22" s="15">
        <f>IF(OR(N22="",NOT(ISNUMBER(B22))),"",B22*N22)</f>
        <v/>
      </c>
      <c r="P22" s="1">
        <f>IF(OR(A22="",COUNTIF(Components!$A$8:$A$107,A22)&lt;&gt;1),"",IF(VLOOKUP(A22,Components!$A$8:$S$107,14,FALSE)="","",VLOOKUP(A22,Components!$A$8:$S$107,14,FALSE)))</f>
        <v/>
      </c>
      <c r="Q22" s="14">
        <f>IF(OR(A22="",COUNTIF(Components!$A$8:$A$107,A22)&lt;&gt;1),"",IF(VLOOKUP(A22,Components!$A$8:$S$107,15,FALSE)="","",VLOOKUP(A22,Components!$A$8:$S$107,15,FALSE)))</f>
        <v/>
      </c>
      <c r="R22" s="14">
        <f>IF(OR(A22="",COUNTIF(Components!$A$8:$A$107,A22)&lt;&gt;1),"",IF(VLOOKUP(A22,Components!$A$8:$S$107,16,FALSE)="","",VLOOKUP(A22,Components!$A$8:$S$107,16,FALSE)))</f>
        <v/>
      </c>
      <c r="S22" s="14">
        <f>IF(OR(A22="",COUNTIF(Components!$A$8:$A$107,A22)&lt;&gt;1),"",IF(VLOOKUP(A22,Components!$A$8:$S$107,17,FALSE)="","",VLOOKUP(A22,Components!$A$8:$S$107,17,FALSE)))</f>
        <v/>
      </c>
      <c r="T22" s="15">
        <f>IF(OR(A22="",COUNTIF(Components!$A$8:$A$107,A22)&lt;&gt;1),"",IF(VLOOKUP(A22,Components!$A$8:$S$107,18,FALSE)="","",VLOOKUP(A22,Components!$A$8:$S$107,18,FALSE)))</f>
        <v/>
      </c>
      <c r="U22" s="15">
        <f>IF(OR(T22="",NOT(ISNUMBER(B22))),"",B22*T22)</f>
        <v/>
      </c>
    </row>
    <row r="23" ht="48" customHeight="1">
      <c r="A23" s="4" t="n"/>
      <c r="B23" s="11" t="n"/>
      <c r="C23" s="6">
        <f>IF(A23="","",IF(COUNTIF(Components!$A$8:$A$107,A23)&lt;&gt;1,"Pending",VLOOKUP(A23,Components!$A$8:$F$107,5,FALSE)))</f>
        <v/>
      </c>
      <c r="D23" s="5" t="n"/>
      <c r="E23" s="6">
        <f>IF(A23="","",IF(ISBLANK(D23),C23,IF(AND(ISNUMBER(D23),D23&gt;=0),D23,"Pending")))</f>
        <v/>
      </c>
      <c r="F23" s="6">
        <f>IF(OR(G23="Catalog basis",G23="Override used"),B23*E23,"")</f>
        <v/>
      </c>
      <c r="G23" s="1">
        <f>IF(A23="",IF(OR(NOT(ISBLANK(B23)),NOT(ISBLANK(D23))),"Needs component",""),IF(COUNTIF(Components!$A$8:$A$107,A23)&lt;&gt;1,"Invalid component",IF(ISBLANK(B23),"Needs quantity",IF(NOT(ISNUMBER(B23)),"Invalid quantity",IF(OR(B23&lt;0,B23&lt;&gt;INT(B23)),"Invalid quantity",IF(NOT(ISNUMBER(E23)),"Needs heat input",IF(NOT(ISBLANK(D23)),"Override used","Catalog basis")))))))</f>
        <v/>
      </c>
      <c r="H23" s="1" t="n"/>
      <c r="I23" s="12">
        <f>IF(A23="","",IF(COUNTIF(Components!$A$8:$A$107,A23)&lt;&gt;1,"Select a unique catalog component",VLOOKUP(A23,Components!$A$8:$F$107,6,FALSE)))</f>
        <v/>
      </c>
      <c r="J23" s="1">
        <f>IF(OR(A23="",COUNTIF(Components!$A$8:$A$107,A23)&lt;&gt;1),"",IF(VLOOKUP(A23,Components!$A$8:$S$107,9,FALSE)="","",VLOOKUP(A23,Components!$A$8:$S$107,9,FALSE)))</f>
        <v/>
      </c>
      <c r="K23" s="14">
        <f>IF(OR(A23="",COUNTIF(Components!$A$8:$A$107,A23)&lt;&gt;1),"",IF(VLOOKUP(A23,Components!$A$8:$S$107,10,FALSE)="","",VLOOKUP(A23,Components!$A$8:$S$107,10,FALSE)))</f>
        <v/>
      </c>
      <c r="L23" s="14">
        <f>IF(OR(A23="",COUNTIF(Components!$A$8:$A$107,A23)&lt;&gt;1),"",IF(VLOOKUP(A23,Components!$A$8:$S$107,11,FALSE)="","",VLOOKUP(A23,Components!$A$8:$S$107,11,FALSE)))</f>
        <v/>
      </c>
      <c r="M23" s="14">
        <f>IF(OR(A23="",COUNTIF(Components!$A$8:$A$107,A23)&lt;&gt;1),"",IF(VLOOKUP(A23,Components!$A$8:$S$107,12,FALSE)="","",VLOOKUP(A23,Components!$A$8:$S$107,12,FALSE)))</f>
        <v/>
      </c>
      <c r="N23" s="15">
        <f>IF(OR(A23="",COUNTIF(Components!$A$8:$A$107,A23)&lt;&gt;1),"",IF(VLOOKUP(A23,Components!$A$8:$S$107,13,FALSE)="","",VLOOKUP(A23,Components!$A$8:$S$107,13,FALSE)))</f>
        <v/>
      </c>
      <c r="O23" s="15">
        <f>IF(OR(N23="",NOT(ISNUMBER(B23))),"",B23*N23)</f>
        <v/>
      </c>
      <c r="P23" s="1">
        <f>IF(OR(A23="",COUNTIF(Components!$A$8:$A$107,A23)&lt;&gt;1),"",IF(VLOOKUP(A23,Components!$A$8:$S$107,14,FALSE)="","",VLOOKUP(A23,Components!$A$8:$S$107,14,FALSE)))</f>
        <v/>
      </c>
      <c r="Q23" s="14">
        <f>IF(OR(A23="",COUNTIF(Components!$A$8:$A$107,A23)&lt;&gt;1),"",IF(VLOOKUP(A23,Components!$A$8:$S$107,15,FALSE)="","",VLOOKUP(A23,Components!$A$8:$S$107,15,FALSE)))</f>
        <v/>
      </c>
      <c r="R23" s="14">
        <f>IF(OR(A23="",COUNTIF(Components!$A$8:$A$107,A23)&lt;&gt;1),"",IF(VLOOKUP(A23,Components!$A$8:$S$107,16,FALSE)="","",VLOOKUP(A23,Components!$A$8:$S$107,16,FALSE)))</f>
        <v/>
      </c>
      <c r="S23" s="14">
        <f>IF(OR(A23="",COUNTIF(Components!$A$8:$A$107,A23)&lt;&gt;1),"",IF(VLOOKUP(A23,Components!$A$8:$S$107,17,FALSE)="","",VLOOKUP(A23,Components!$A$8:$S$107,17,FALSE)))</f>
        <v/>
      </c>
      <c r="T23" s="15">
        <f>IF(OR(A23="",COUNTIF(Components!$A$8:$A$107,A23)&lt;&gt;1),"",IF(VLOOKUP(A23,Components!$A$8:$S$107,18,FALSE)="","",VLOOKUP(A23,Components!$A$8:$S$107,18,FALSE)))</f>
        <v/>
      </c>
      <c r="U23" s="15">
        <f>IF(OR(T23="",NOT(ISNUMBER(B23))),"",B23*T23)</f>
        <v/>
      </c>
    </row>
    <row r="24" ht="48" customHeight="1">
      <c r="A24" s="4" t="n"/>
      <c r="B24" s="11" t="n"/>
      <c r="C24" s="6">
        <f>IF(A24="","",IF(COUNTIF(Components!$A$8:$A$107,A24)&lt;&gt;1,"Pending",VLOOKUP(A24,Components!$A$8:$F$107,5,FALSE)))</f>
        <v/>
      </c>
      <c r="D24" s="5" t="n"/>
      <c r="E24" s="6">
        <f>IF(A24="","",IF(ISBLANK(D24),C24,IF(AND(ISNUMBER(D24),D24&gt;=0),D24,"Pending")))</f>
        <v/>
      </c>
      <c r="F24" s="6">
        <f>IF(OR(G24="Catalog basis",G24="Override used"),B24*E24,"")</f>
        <v/>
      </c>
      <c r="G24" s="1">
        <f>IF(A24="",IF(OR(NOT(ISBLANK(B24)),NOT(ISBLANK(D24))),"Needs component",""),IF(COUNTIF(Components!$A$8:$A$107,A24)&lt;&gt;1,"Invalid component",IF(ISBLANK(B24),"Needs quantity",IF(NOT(ISNUMBER(B24)),"Invalid quantity",IF(OR(B24&lt;0,B24&lt;&gt;INT(B24)),"Invalid quantity",IF(NOT(ISNUMBER(E24)),"Needs heat input",IF(NOT(ISBLANK(D24)),"Override used","Catalog basis")))))))</f>
        <v/>
      </c>
      <c r="H24" s="1" t="n"/>
      <c r="I24" s="12">
        <f>IF(A24="","",IF(COUNTIF(Components!$A$8:$A$107,A24)&lt;&gt;1,"Select a unique catalog component",VLOOKUP(A24,Components!$A$8:$F$107,6,FALSE)))</f>
        <v/>
      </c>
      <c r="J24" s="1">
        <f>IF(OR(A24="",COUNTIF(Components!$A$8:$A$107,A24)&lt;&gt;1),"",IF(VLOOKUP(A24,Components!$A$8:$S$107,9,FALSE)="","",VLOOKUP(A24,Components!$A$8:$S$107,9,FALSE)))</f>
        <v/>
      </c>
      <c r="K24" s="14">
        <f>IF(OR(A24="",COUNTIF(Components!$A$8:$A$107,A24)&lt;&gt;1),"",IF(VLOOKUP(A24,Components!$A$8:$S$107,10,FALSE)="","",VLOOKUP(A24,Components!$A$8:$S$107,10,FALSE)))</f>
        <v/>
      </c>
      <c r="L24" s="14">
        <f>IF(OR(A24="",COUNTIF(Components!$A$8:$A$107,A24)&lt;&gt;1),"",IF(VLOOKUP(A24,Components!$A$8:$S$107,11,FALSE)="","",VLOOKUP(A24,Components!$A$8:$S$107,11,FALSE)))</f>
        <v/>
      </c>
      <c r="M24" s="14">
        <f>IF(OR(A24="",COUNTIF(Components!$A$8:$A$107,A24)&lt;&gt;1),"",IF(VLOOKUP(A24,Components!$A$8:$S$107,12,FALSE)="","",VLOOKUP(A24,Components!$A$8:$S$107,12,FALSE)))</f>
        <v/>
      </c>
      <c r="N24" s="15">
        <f>IF(OR(A24="",COUNTIF(Components!$A$8:$A$107,A24)&lt;&gt;1),"",IF(VLOOKUP(A24,Components!$A$8:$S$107,13,FALSE)="","",VLOOKUP(A24,Components!$A$8:$S$107,13,FALSE)))</f>
        <v/>
      </c>
      <c r="O24" s="15">
        <f>IF(OR(N24="",NOT(ISNUMBER(B24))),"",B24*N24)</f>
        <v/>
      </c>
      <c r="P24" s="1">
        <f>IF(OR(A24="",COUNTIF(Components!$A$8:$A$107,A24)&lt;&gt;1),"",IF(VLOOKUP(A24,Components!$A$8:$S$107,14,FALSE)="","",VLOOKUP(A24,Components!$A$8:$S$107,14,FALSE)))</f>
        <v/>
      </c>
      <c r="Q24" s="14">
        <f>IF(OR(A24="",COUNTIF(Components!$A$8:$A$107,A24)&lt;&gt;1),"",IF(VLOOKUP(A24,Components!$A$8:$S$107,15,FALSE)="","",VLOOKUP(A24,Components!$A$8:$S$107,15,FALSE)))</f>
        <v/>
      </c>
      <c r="R24" s="14">
        <f>IF(OR(A24="",COUNTIF(Components!$A$8:$A$107,A24)&lt;&gt;1),"",IF(VLOOKUP(A24,Components!$A$8:$S$107,16,FALSE)="","",VLOOKUP(A24,Components!$A$8:$S$107,16,FALSE)))</f>
        <v/>
      </c>
      <c r="S24" s="14">
        <f>IF(OR(A24="",COUNTIF(Components!$A$8:$A$107,A24)&lt;&gt;1),"",IF(VLOOKUP(A24,Components!$A$8:$S$107,17,FALSE)="","",VLOOKUP(A24,Components!$A$8:$S$107,17,FALSE)))</f>
        <v/>
      </c>
      <c r="T24" s="15">
        <f>IF(OR(A24="",COUNTIF(Components!$A$8:$A$107,A24)&lt;&gt;1),"",IF(VLOOKUP(A24,Components!$A$8:$S$107,18,FALSE)="","",VLOOKUP(A24,Components!$A$8:$S$107,18,FALSE)))</f>
        <v/>
      </c>
      <c r="U24" s="15">
        <f>IF(OR(T24="",NOT(ISNUMBER(B24))),"",B24*T24)</f>
        <v/>
      </c>
    </row>
    <row r="25" ht="48" customHeight="1">
      <c r="A25" s="4" t="n"/>
      <c r="B25" s="11" t="n"/>
      <c r="C25" s="6">
        <f>IF(A25="","",IF(COUNTIF(Components!$A$8:$A$107,A25)&lt;&gt;1,"Pending",VLOOKUP(A25,Components!$A$8:$F$107,5,FALSE)))</f>
        <v/>
      </c>
      <c r="D25" s="5" t="n"/>
      <c r="E25" s="6">
        <f>IF(A25="","",IF(ISBLANK(D25),C25,IF(AND(ISNUMBER(D25),D25&gt;=0),D25,"Pending")))</f>
        <v/>
      </c>
      <c r="F25" s="6">
        <f>IF(OR(G25="Catalog basis",G25="Override used"),B25*E25,"")</f>
        <v/>
      </c>
      <c r="G25" s="1">
        <f>IF(A25="",IF(OR(NOT(ISBLANK(B25)),NOT(ISBLANK(D25))),"Needs component",""),IF(COUNTIF(Components!$A$8:$A$107,A25)&lt;&gt;1,"Invalid component",IF(ISBLANK(B25),"Needs quantity",IF(NOT(ISNUMBER(B25)),"Invalid quantity",IF(OR(B25&lt;0,B25&lt;&gt;INT(B25)),"Invalid quantity",IF(NOT(ISNUMBER(E25)),"Needs heat input",IF(NOT(ISBLANK(D25)),"Override used","Catalog basis")))))))</f>
        <v/>
      </c>
      <c r="H25" s="1" t="n"/>
      <c r="I25" s="12">
        <f>IF(A25="","",IF(COUNTIF(Components!$A$8:$A$107,A25)&lt;&gt;1,"Select a unique catalog component",VLOOKUP(A25,Components!$A$8:$F$107,6,FALSE)))</f>
        <v/>
      </c>
      <c r="J25" s="1">
        <f>IF(OR(A25="",COUNTIF(Components!$A$8:$A$107,A25)&lt;&gt;1),"",IF(VLOOKUP(A25,Components!$A$8:$S$107,9,FALSE)="","",VLOOKUP(A25,Components!$A$8:$S$107,9,FALSE)))</f>
        <v/>
      </c>
      <c r="K25" s="14">
        <f>IF(OR(A25="",COUNTIF(Components!$A$8:$A$107,A25)&lt;&gt;1),"",IF(VLOOKUP(A25,Components!$A$8:$S$107,10,FALSE)="","",VLOOKUP(A25,Components!$A$8:$S$107,10,FALSE)))</f>
        <v/>
      </c>
      <c r="L25" s="14">
        <f>IF(OR(A25="",COUNTIF(Components!$A$8:$A$107,A25)&lt;&gt;1),"",IF(VLOOKUP(A25,Components!$A$8:$S$107,11,FALSE)="","",VLOOKUP(A25,Components!$A$8:$S$107,11,FALSE)))</f>
        <v/>
      </c>
      <c r="M25" s="14">
        <f>IF(OR(A25="",COUNTIF(Components!$A$8:$A$107,A25)&lt;&gt;1),"",IF(VLOOKUP(A25,Components!$A$8:$S$107,12,FALSE)="","",VLOOKUP(A25,Components!$A$8:$S$107,12,FALSE)))</f>
        <v/>
      </c>
      <c r="N25" s="15">
        <f>IF(OR(A25="",COUNTIF(Components!$A$8:$A$107,A25)&lt;&gt;1),"",IF(VLOOKUP(A25,Components!$A$8:$S$107,13,FALSE)="","",VLOOKUP(A25,Components!$A$8:$S$107,13,FALSE)))</f>
        <v/>
      </c>
      <c r="O25" s="15">
        <f>IF(OR(N25="",NOT(ISNUMBER(B25))),"",B25*N25)</f>
        <v/>
      </c>
      <c r="P25" s="1">
        <f>IF(OR(A25="",COUNTIF(Components!$A$8:$A$107,A25)&lt;&gt;1),"",IF(VLOOKUP(A25,Components!$A$8:$S$107,14,FALSE)="","",VLOOKUP(A25,Components!$A$8:$S$107,14,FALSE)))</f>
        <v/>
      </c>
      <c r="Q25" s="14">
        <f>IF(OR(A25="",COUNTIF(Components!$A$8:$A$107,A25)&lt;&gt;1),"",IF(VLOOKUP(A25,Components!$A$8:$S$107,15,FALSE)="","",VLOOKUP(A25,Components!$A$8:$S$107,15,FALSE)))</f>
        <v/>
      </c>
      <c r="R25" s="14">
        <f>IF(OR(A25="",COUNTIF(Components!$A$8:$A$107,A25)&lt;&gt;1),"",IF(VLOOKUP(A25,Components!$A$8:$S$107,16,FALSE)="","",VLOOKUP(A25,Components!$A$8:$S$107,16,FALSE)))</f>
        <v/>
      </c>
      <c r="S25" s="14">
        <f>IF(OR(A25="",COUNTIF(Components!$A$8:$A$107,A25)&lt;&gt;1),"",IF(VLOOKUP(A25,Components!$A$8:$S$107,17,FALSE)="","",VLOOKUP(A25,Components!$A$8:$S$107,17,FALSE)))</f>
        <v/>
      </c>
      <c r="T25" s="15">
        <f>IF(OR(A25="",COUNTIF(Components!$A$8:$A$107,A25)&lt;&gt;1),"",IF(VLOOKUP(A25,Components!$A$8:$S$107,18,FALSE)="","",VLOOKUP(A25,Components!$A$8:$S$107,18,FALSE)))</f>
        <v/>
      </c>
      <c r="U25" s="15">
        <f>IF(OR(T25="",NOT(ISNUMBER(B25))),"",B25*T25)</f>
        <v/>
      </c>
    </row>
    <row r="26" ht="48" customHeight="1">
      <c r="A26" s="4" t="n"/>
      <c r="B26" s="11" t="n"/>
      <c r="C26" s="6">
        <f>IF(A26="","",IF(COUNTIF(Components!$A$8:$A$107,A26)&lt;&gt;1,"Pending",VLOOKUP(A26,Components!$A$8:$F$107,5,FALSE)))</f>
        <v/>
      </c>
      <c r="D26" s="5" t="n"/>
      <c r="E26" s="6">
        <f>IF(A26="","",IF(ISBLANK(D26),C26,IF(AND(ISNUMBER(D26),D26&gt;=0),D26,"Pending")))</f>
        <v/>
      </c>
      <c r="F26" s="6">
        <f>IF(OR(G26="Catalog basis",G26="Override used"),B26*E26,"")</f>
        <v/>
      </c>
      <c r="G26" s="1">
        <f>IF(A26="",IF(OR(NOT(ISBLANK(B26)),NOT(ISBLANK(D26))),"Needs component",""),IF(COUNTIF(Components!$A$8:$A$107,A26)&lt;&gt;1,"Invalid component",IF(ISBLANK(B26),"Needs quantity",IF(NOT(ISNUMBER(B26)),"Invalid quantity",IF(OR(B26&lt;0,B26&lt;&gt;INT(B26)),"Invalid quantity",IF(NOT(ISNUMBER(E26)),"Needs heat input",IF(NOT(ISBLANK(D26)),"Override used","Catalog basis")))))))</f>
        <v/>
      </c>
      <c r="H26" s="1" t="n"/>
      <c r="I26" s="12">
        <f>IF(A26="","",IF(COUNTIF(Components!$A$8:$A$107,A26)&lt;&gt;1,"Select a unique catalog component",VLOOKUP(A26,Components!$A$8:$F$107,6,FALSE)))</f>
        <v/>
      </c>
      <c r="J26" s="1">
        <f>IF(OR(A26="",COUNTIF(Components!$A$8:$A$107,A26)&lt;&gt;1),"",IF(VLOOKUP(A26,Components!$A$8:$S$107,9,FALSE)="","",VLOOKUP(A26,Components!$A$8:$S$107,9,FALSE)))</f>
        <v/>
      </c>
      <c r="K26" s="14">
        <f>IF(OR(A26="",COUNTIF(Components!$A$8:$A$107,A26)&lt;&gt;1),"",IF(VLOOKUP(A26,Components!$A$8:$S$107,10,FALSE)="","",VLOOKUP(A26,Components!$A$8:$S$107,10,FALSE)))</f>
        <v/>
      </c>
      <c r="L26" s="14">
        <f>IF(OR(A26="",COUNTIF(Components!$A$8:$A$107,A26)&lt;&gt;1),"",IF(VLOOKUP(A26,Components!$A$8:$S$107,11,FALSE)="","",VLOOKUP(A26,Components!$A$8:$S$107,11,FALSE)))</f>
        <v/>
      </c>
      <c r="M26" s="14">
        <f>IF(OR(A26="",COUNTIF(Components!$A$8:$A$107,A26)&lt;&gt;1),"",IF(VLOOKUP(A26,Components!$A$8:$S$107,12,FALSE)="","",VLOOKUP(A26,Components!$A$8:$S$107,12,FALSE)))</f>
        <v/>
      </c>
      <c r="N26" s="15">
        <f>IF(OR(A26="",COUNTIF(Components!$A$8:$A$107,A26)&lt;&gt;1),"",IF(VLOOKUP(A26,Components!$A$8:$S$107,13,FALSE)="","",VLOOKUP(A26,Components!$A$8:$S$107,13,FALSE)))</f>
        <v/>
      </c>
      <c r="O26" s="15">
        <f>IF(OR(N26="",NOT(ISNUMBER(B26))),"",B26*N26)</f>
        <v/>
      </c>
      <c r="P26" s="1">
        <f>IF(OR(A26="",COUNTIF(Components!$A$8:$A$107,A26)&lt;&gt;1),"",IF(VLOOKUP(A26,Components!$A$8:$S$107,14,FALSE)="","",VLOOKUP(A26,Components!$A$8:$S$107,14,FALSE)))</f>
        <v/>
      </c>
      <c r="Q26" s="14">
        <f>IF(OR(A26="",COUNTIF(Components!$A$8:$A$107,A26)&lt;&gt;1),"",IF(VLOOKUP(A26,Components!$A$8:$S$107,15,FALSE)="","",VLOOKUP(A26,Components!$A$8:$S$107,15,FALSE)))</f>
        <v/>
      </c>
      <c r="R26" s="14">
        <f>IF(OR(A26="",COUNTIF(Components!$A$8:$A$107,A26)&lt;&gt;1),"",IF(VLOOKUP(A26,Components!$A$8:$S$107,16,FALSE)="","",VLOOKUP(A26,Components!$A$8:$S$107,16,FALSE)))</f>
        <v/>
      </c>
      <c r="S26" s="14">
        <f>IF(OR(A26="",COUNTIF(Components!$A$8:$A$107,A26)&lt;&gt;1),"",IF(VLOOKUP(A26,Components!$A$8:$S$107,17,FALSE)="","",VLOOKUP(A26,Components!$A$8:$S$107,17,FALSE)))</f>
        <v/>
      </c>
      <c r="T26" s="15">
        <f>IF(OR(A26="",COUNTIF(Components!$A$8:$A$107,A26)&lt;&gt;1),"",IF(VLOOKUP(A26,Components!$A$8:$S$107,18,FALSE)="","",VLOOKUP(A26,Components!$A$8:$S$107,18,FALSE)))</f>
        <v/>
      </c>
      <c r="U26" s="15">
        <f>IF(OR(T26="",NOT(ISNUMBER(B26))),"",B26*T26)</f>
        <v/>
      </c>
    </row>
    <row r="27" ht="48" customHeight="1">
      <c r="A27" s="4" t="n"/>
      <c r="B27" s="11" t="n"/>
      <c r="C27" s="6">
        <f>IF(A27="","",IF(COUNTIF(Components!$A$8:$A$107,A27)&lt;&gt;1,"Pending",VLOOKUP(A27,Components!$A$8:$F$107,5,FALSE)))</f>
        <v/>
      </c>
      <c r="D27" s="5" t="n"/>
      <c r="E27" s="6">
        <f>IF(A27="","",IF(ISBLANK(D27),C27,IF(AND(ISNUMBER(D27),D27&gt;=0),D27,"Pending")))</f>
        <v/>
      </c>
      <c r="F27" s="6">
        <f>IF(OR(G27="Catalog basis",G27="Override used"),B27*E27,"")</f>
        <v/>
      </c>
      <c r="G27" s="1">
        <f>IF(A27="",IF(OR(NOT(ISBLANK(B27)),NOT(ISBLANK(D27))),"Needs component",""),IF(COUNTIF(Components!$A$8:$A$107,A27)&lt;&gt;1,"Invalid component",IF(ISBLANK(B27),"Needs quantity",IF(NOT(ISNUMBER(B27)),"Invalid quantity",IF(OR(B27&lt;0,B27&lt;&gt;INT(B27)),"Invalid quantity",IF(NOT(ISNUMBER(E27)),"Needs heat input",IF(NOT(ISBLANK(D27)),"Override used","Catalog basis")))))))</f>
        <v/>
      </c>
      <c r="H27" s="1" t="n"/>
      <c r="I27" s="12">
        <f>IF(A27="","",IF(COUNTIF(Components!$A$8:$A$107,A27)&lt;&gt;1,"Select a unique catalog component",VLOOKUP(A27,Components!$A$8:$F$107,6,FALSE)))</f>
        <v/>
      </c>
      <c r="J27" s="1">
        <f>IF(OR(A27="",COUNTIF(Components!$A$8:$A$107,A27)&lt;&gt;1),"",IF(VLOOKUP(A27,Components!$A$8:$S$107,9,FALSE)="","",VLOOKUP(A27,Components!$A$8:$S$107,9,FALSE)))</f>
        <v/>
      </c>
      <c r="K27" s="14">
        <f>IF(OR(A27="",COUNTIF(Components!$A$8:$A$107,A27)&lt;&gt;1),"",IF(VLOOKUP(A27,Components!$A$8:$S$107,10,FALSE)="","",VLOOKUP(A27,Components!$A$8:$S$107,10,FALSE)))</f>
        <v/>
      </c>
      <c r="L27" s="14">
        <f>IF(OR(A27="",COUNTIF(Components!$A$8:$A$107,A27)&lt;&gt;1),"",IF(VLOOKUP(A27,Components!$A$8:$S$107,11,FALSE)="","",VLOOKUP(A27,Components!$A$8:$S$107,11,FALSE)))</f>
        <v/>
      </c>
      <c r="M27" s="14">
        <f>IF(OR(A27="",COUNTIF(Components!$A$8:$A$107,A27)&lt;&gt;1),"",IF(VLOOKUP(A27,Components!$A$8:$S$107,12,FALSE)="","",VLOOKUP(A27,Components!$A$8:$S$107,12,FALSE)))</f>
        <v/>
      </c>
      <c r="N27" s="15">
        <f>IF(OR(A27="",COUNTIF(Components!$A$8:$A$107,A27)&lt;&gt;1),"",IF(VLOOKUP(A27,Components!$A$8:$S$107,13,FALSE)="","",VLOOKUP(A27,Components!$A$8:$S$107,13,FALSE)))</f>
        <v/>
      </c>
      <c r="O27" s="15">
        <f>IF(OR(N27="",NOT(ISNUMBER(B27))),"",B27*N27)</f>
        <v/>
      </c>
      <c r="P27" s="1">
        <f>IF(OR(A27="",COUNTIF(Components!$A$8:$A$107,A27)&lt;&gt;1),"",IF(VLOOKUP(A27,Components!$A$8:$S$107,14,FALSE)="","",VLOOKUP(A27,Components!$A$8:$S$107,14,FALSE)))</f>
        <v/>
      </c>
      <c r="Q27" s="14">
        <f>IF(OR(A27="",COUNTIF(Components!$A$8:$A$107,A27)&lt;&gt;1),"",IF(VLOOKUP(A27,Components!$A$8:$S$107,15,FALSE)="","",VLOOKUP(A27,Components!$A$8:$S$107,15,FALSE)))</f>
        <v/>
      </c>
      <c r="R27" s="14">
        <f>IF(OR(A27="",COUNTIF(Components!$A$8:$A$107,A27)&lt;&gt;1),"",IF(VLOOKUP(A27,Components!$A$8:$S$107,16,FALSE)="","",VLOOKUP(A27,Components!$A$8:$S$107,16,FALSE)))</f>
        <v/>
      </c>
      <c r="S27" s="14">
        <f>IF(OR(A27="",COUNTIF(Components!$A$8:$A$107,A27)&lt;&gt;1),"",IF(VLOOKUP(A27,Components!$A$8:$S$107,17,FALSE)="","",VLOOKUP(A27,Components!$A$8:$S$107,17,FALSE)))</f>
        <v/>
      </c>
      <c r="T27" s="15">
        <f>IF(OR(A27="",COUNTIF(Components!$A$8:$A$107,A27)&lt;&gt;1),"",IF(VLOOKUP(A27,Components!$A$8:$S$107,18,FALSE)="","",VLOOKUP(A27,Components!$A$8:$S$107,18,FALSE)))</f>
        <v/>
      </c>
      <c r="U27" s="15">
        <f>IF(OR(T27="",NOT(ISNUMBER(B27))),"",B27*T27)</f>
        <v/>
      </c>
    </row>
    <row r="28" ht="48" customHeight="1">
      <c r="A28" s="4" t="n"/>
      <c r="B28" s="11" t="n"/>
      <c r="C28" s="6">
        <f>IF(A28="","",IF(COUNTIF(Components!$A$8:$A$107,A28)&lt;&gt;1,"Pending",VLOOKUP(A28,Components!$A$8:$F$107,5,FALSE)))</f>
        <v/>
      </c>
      <c r="D28" s="5" t="n"/>
      <c r="E28" s="6">
        <f>IF(A28="","",IF(ISBLANK(D28),C28,IF(AND(ISNUMBER(D28),D28&gt;=0),D28,"Pending")))</f>
        <v/>
      </c>
      <c r="F28" s="6">
        <f>IF(OR(G28="Catalog basis",G28="Override used"),B28*E28,"")</f>
        <v/>
      </c>
      <c r="G28" s="1">
        <f>IF(A28="",IF(OR(NOT(ISBLANK(B28)),NOT(ISBLANK(D28))),"Needs component",""),IF(COUNTIF(Components!$A$8:$A$107,A28)&lt;&gt;1,"Invalid component",IF(ISBLANK(B28),"Needs quantity",IF(NOT(ISNUMBER(B28)),"Invalid quantity",IF(OR(B28&lt;0,B28&lt;&gt;INT(B28)),"Invalid quantity",IF(NOT(ISNUMBER(E28)),"Needs heat input",IF(NOT(ISBLANK(D28)),"Override used","Catalog basis")))))))</f>
        <v/>
      </c>
      <c r="H28" s="1" t="n"/>
      <c r="I28" s="12">
        <f>IF(A28="","",IF(COUNTIF(Components!$A$8:$A$107,A28)&lt;&gt;1,"Select a unique catalog component",VLOOKUP(A28,Components!$A$8:$F$107,6,FALSE)))</f>
        <v/>
      </c>
      <c r="J28" s="1">
        <f>IF(OR(A28="",COUNTIF(Components!$A$8:$A$107,A28)&lt;&gt;1),"",IF(VLOOKUP(A28,Components!$A$8:$S$107,9,FALSE)="","",VLOOKUP(A28,Components!$A$8:$S$107,9,FALSE)))</f>
        <v/>
      </c>
      <c r="K28" s="14">
        <f>IF(OR(A28="",COUNTIF(Components!$A$8:$A$107,A28)&lt;&gt;1),"",IF(VLOOKUP(A28,Components!$A$8:$S$107,10,FALSE)="","",VLOOKUP(A28,Components!$A$8:$S$107,10,FALSE)))</f>
        <v/>
      </c>
      <c r="L28" s="14">
        <f>IF(OR(A28="",COUNTIF(Components!$A$8:$A$107,A28)&lt;&gt;1),"",IF(VLOOKUP(A28,Components!$A$8:$S$107,11,FALSE)="","",VLOOKUP(A28,Components!$A$8:$S$107,11,FALSE)))</f>
        <v/>
      </c>
      <c r="M28" s="14">
        <f>IF(OR(A28="",COUNTIF(Components!$A$8:$A$107,A28)&lt;&gt;1),"",IF(VLOOKUP(A28,Components!$A$8:$S$107,12,FALSE)="","",VLOOKUP(A28,Components!$A$8:$S$107,12,FALSE)))</f>
        <v/>
      </c>
      <c r="N28" s="15">
        <f>IF(OR(A28="",COUNTIF(Components!$A$8:$A$107,A28)&lt;&gt;1),"",IF(VLOOKUP(A28,Components!$A$8:$S$107,13,FALSE)="","",VLOOKUP(A28,Components!$A$8:$S$107,13,FALSE)))</f>
        <v/>
      </c>
      <c r="O28" s="15">
        <f>IF(OR(N28="",NOT(ISNUMBER(B28))),"",B28*N28)</f>
        <v/>
      </c>
      <c r="P28" s="1">
        <f>IF(OR(A28="",COUNTIF(Components!$A$8:$A$107,A28)&lt;&gt;1),"",IF(VLOOKUP(A28,Components!$A$8:$S$107,14,FALSE)="","",VLOOKUP(A28,Components!$A$8:$S$107,14,FALSE)))</f>
        <v/>
      </c>
      <c r="Q28" s="14">
        <f>IF(OR(A28="",COUNTIF(Components!$A$8:$A$107,A28)&lt;&gt;1),"",IF(VLOOKUP(A28,Components!$A$8:$S$107,15,FALSE)="","",VLOOKUP(A28,Components!$A$8:$S$107,15,FALSE)))</f>
        <v/>
      </c>
      <c r="R28" s="14">
        <f>IF(OR(A28="",COUNTIF(Components!$A$8:$A$107,A28)&lt;&gt;1),"",IF(VLOOKUP(A28,Components!$A$8:$S$107,16,FALSE)="","",VLOOKUP(A28,Components!$A$8:$S$107,16,FALSE)))</f>
        <v/>
      </c>
      <c r="S28" s="14">
        <f>IF(OR(A28="",COUNTIF(Components!$A$8:$A$107,A28)&lt;&gt;1),"",IF(VLOOKUP(A28,Components!$A$8:$S$107,17,FALSE)="","",VLOOKUP(A28,Components!$A$8:$S$107,17,FALSE)))</f>
        <v/>
      </c>
      <c r="T28" s="15">
        <f>IF(OR(A28="",COUNTIF(Components!$A$8:$A$107,A28)&lt;&gt;1),"",IF(VLOOKUP(A28,Components!$A$8:$S$107,18,FALSE)="","",VLOOKUP(A28,Components!$A$8:$S$107,18,FALSE)))</f>
        <v/>
      </c>
      <c r="U28" s="15">
        <f>IF(OR(T28="",NOT(ISNUMBER(B28))),"",B28*T28)</f>
        <v/>
      </c>
    </row>
    <row r="29" ht="48" customHeight="1">
      <c r="A29" s="4" t="n"/>
      <c r="B29" s="11" t="n"/>
      <c r="C29" s="6">
        <f>IF(A29="","",IF(COUNTIF(Components!$A$8:$A$107,A29)&lt;&gt;1,"Pending",VLOOKUP(A29,Components!$A$8:$F$107,5,FALSE)))</f>
        <v/>
      </c>
      <c r="D29" s="5" t="n"/>
      <c r="E29" s="6">
        <f>IF(A29="","",IF(ISBLANK(D29),C29,IF(AND(ISNUMBER(D29),D29&gt;=0),D29,"Pending")))</f>
        <v/>
      </c>
      <c r="F29" s="6">
        <f>IF(OR(G29="Catalog basis",G29="Override used"),B29*E29,"")</f>
        <v/>
      </c>
      <c r="G29" s="1">
        <f>IF(A29="",IF(OR(NOT(ISBLANK(B29)),NOT(ISBLANK(D29))),"Needs component",""),IF(COUNTIF(Components!$A$8:$A$107,A29)&lt;&gt;1,"Invalid component",IF(ISBLANK(B29),"Needs quantity",IF(NOT(ISNUMBER(B29)),"Invalid quantity",IF(OR(B29&lt;0,B29&lt;&gt;INT(B29)),"Invalid quantity",IF(NOT(ISNUMBER(E29)),"Needs heat input",IF(NOT(ISBLANK(D29)),"Override used","Catalog basis")))))))</f>
        <v/>
      </c>
      <c r="H29" s="1" t="n"/>
      <c r="I29" s="12">
        <f>IF(A29="","",IF(COUNTIF(Components!$A$8:$A$107,A29)&lt;&gt;1,"Select a unique catalog component",VLOOKUP(A29,Components!$A$8:$F$107,6,FALSE)))</f>
        <v/>
      </c>
      <c r="J29" s="1">
        <f>IF(OR(A29="",COUNTIF(Components!$A$8:$A$107,A29)&lt;&gt;1),"",IF(VLOOKUP(A29,Components!$A$8:$S$107,9,FALSE)="","",VLOOKUP(A29,Components!$A$8:$S$107,9,FALSE)))</f>
        <v/>
      </c>
      <c r="K29" s="14">
        <f>IF(OR(A29="",COUNTIF(Components!$A$8:$A$107,A29)&lt;&gt;1),"",IF(VLOOKUP(A29,Components!$A$8:$S$107,10,FALSE)="","",VLOOKUP(A29,Components!$A$8:$S$107,10,FALSE)))</f>
        <v/>
      </c>
      <c r="L29" s="14">
        <f>IF(OR(A29="",COUNTIF(Components!$A$8:$A$107,A29)&lt;&gt;1),"",IF(VLOOKUP(A29,Components!$A$8:$S$107,11,FALSE)="","",VLOOKUP(A29,Components!$A$8:$S$107,11,FALSE)))</f>
        <v/>
      </c>
      <c r="M29" s="14">
        <f>IF(OR(A29="",COUNTIF(Components!$A$8:$A$107,A29)&lt;&gt;1),"",IF(VLOOKUP(A29,Components!$A$8:$S$107,12,FALSE)="","",VLOOKUP(A29,Components!$A$8:$S$107,12,FALSE)))</f>
        <v/>
      </c>
      <c r="N29" s="15">
        <f>IF(OR(A29="",COUNTIF(Components!$A$8:$A$107,A29)&lt;&gt;1),"",IF(VLOOKUP(A29,Components!$A$8:$S$107,13,FALSE)="","",VLOOKUP(A29,Components!$A$8:$S$107,13,FALSE)))</f>
        <v/>
      </c>
      <c r="O29" s="15">
        <f>IF(OR(N29="",NOT(ISNUMBER(B29))),"",B29*N29)</f>
        <v/>
      </c>
      <c r="P29" s="1">
        <f>IF(OR(A29="",COUNTIF(Components!$A$8:$A$107,A29)&lt;&gt;1),"",IF(VLOOKUP(A29,Components!$A$8:$S$107,14,FALSE)="","",VLOOKUP(A29,Components!$A$8:$S$107,14,FALSE)))</f>
        <v/>
      </c>
      <c r="Q29" s="14">
        <f>IF(OR(A29="",COUNTIF(Components!$A$8:$A$107,A29)&lt;&gt;1),"",IF(VLOOKUP(A29,Components!$A$8:$S$107,15,FALSE)="","",VLOOKUP(A29,Components!$A$8:$S$107,15,FALSE)))</f>
        <v/>
      </c>
      <c r="R29" s="14">
        <f>IF(OR(A29="",COUNTIF(Components!$A$8:$A$107,A29)&lt;&gt;1),"",IF(VLOOKUP(A29,Components!$A$8:$S$107,16,FALSE)="","",VLOOKUP(A29,Components!$A$8:$S$107,16,FALSE)))</f>
        <v/>
      </c>
      <c r="S29" s="14">
        <f>IF(OR(A29="",COUNTIF(Components!$A$8:$A$107,A29)&lt;&gt;1),"",IF(VLOOKUP(A29,Components!$A$8:$S$107,17,FALSE)="","",VLOOKUP(A29,Components!$A$8:$S$107,17,FALSE)))</f>
        <v/>
      </c>
      <c r="T29" s="15">
        <f>IF(OR(A29="",COUNTIF(Components!$A$8:$A$107,A29)&lt;&gt;1),"",IF(VLOOKUP(A29,Components!$A$8:$S$107,18,FALSE)="","",VLOOKUP(A29,Components!$A$8:$S$107,18,FALSE)))</f>
        <v/>
      </c>
      <c r="U29" s="15">
        <f>IF(OR(T29="",NOT(ISNUMBER(B29))),"",B29*T29)</f>
        <v/>
      </c>
    </row>
    <row r="30" ht="48" customHeight="1">
      <c r="A30" s="4" t="n"/>
      <c r="B30" s="11" t="n"/>
      <c r="C30" s="6">
        <f>IF(A30="","",IF(COUNTIF(Components!$A$8:$A$107,A30)&lt;&gt;1,"Pending",VLOOKUP(A30,Components!$A$8:$F$107,5,FALSE)))</f>
        <v/>
      </c>
      <c r="D30" s="5" t="n"/>
      <c r="E30" s="6">
        <f>IF(A30="","",IF(ISBLANK(D30),C30,IF(AND(ISNUMBER(D30),D30&gt;=0),D30,"Pending")))</f>
        <v/>
      </c>
      <c r="F30" s="6">
        <f>IF(OR(G30="Catalog basis",G30="Override used"),B30*E30,"")</f>
        <v/>
      </c>
      <c r="G30" s="1">
        <f>IF(A30="",IF(OR(NOT(ISBLANK(B30)),NOT(ISBLANK(D30))),"Needs component",""),IF(COUNTIF(Components!$A$8:$A$107,A30)&lt;&gt;1,"Invalid component",IF(ISBLANK(B30),"Needs quantity",IF(NOT(ISNUMBER(B30)),"Invalid quantity",IF(OR(B30&lt;0,B30&lt;&gt;INT(B30)),"Invalid quantity",IF(NOT(ISNUMBER(E30)),"Needs heat input",IF(NOT(ISBLANK(D30)),"Override used","Catalog basis")))))))</f>
        <v/>
      </c>
      <c r="H30" s="1" t="n"/>
      <c r="I30" s="12">
        <f>IF(A30="","",IF(COUNTIF(Components!$A$8:$A$107,A30)&lt;&gt;1,"Select a unique catalog component",VLOOKUP(A30,Components!$A$8:$F$107,6,FALSE)))</f>
        <v/>
      </c>
      <c r="J30" s="1">
        <f>IF(OR(A30="",COUNTIF(Components!$A$8:$A$107,A30)&lt;&gt;1),"",IF(VLOOKUP(A30,Components!$A$8:$S$107,9,FALSE)="","",VLOOKUP(A30,Components!$A$8:$S$107,9,FALSE)))</f>
        <v/>
      </c>
      <c r="K30" s="14">
        <f>IF(OR(A30="",COUNTIF(Components!$A$8:$A$107,A30)&lt;&gt;1),"",IF(VLOOKUP(A30,Components!$A$8:$S$107,10,FALSE)="","",VLOOKUP(A30,Components!$A$8:$S$107,10,FALSE)))</f>
        <v/>
      </c>
      <c r="L30" s="14">
        <f>IF(OR(A30="",COUNTIF(Components!$A$8:$A$107,A30)&lt;&gt;1),"",IF(VLOOKUP(A30,Components!$A$8:$S$107,11,FALSE)="","",VLOOKUP(A30,Components!$A$8:$S$107,11,FALSE)))</f>
        <v/>
      </c>
      <c r="M30" s="14">
        <f>IF(OR(A30="",COUNTIF(Components!$A$8:$A$107,A30)&lt;&gt;1),"",IF(VLOOKUP(A30,Components!$A$8:$S$107,12,FALSE)="","",VLOOKUP(A30,Components!$A$8:$S$107,12,FALSE)))</f>
        <v/>
      </c>
      <c r="N30" s="15">
        <f>IF(OR(A30="",COUNTIF(Components!$A$8:$A$107,A30)&lt;&gt;1),"",IF(VLOOKUP(A30,Components!$A$8:$S$107,13,FALSE)="","",VLOOKUP(A30,Components!$A$8:$S$107,13,FALSE)))</f>
        <v/>
      </c>
      <c r="O30" s="15">
        <f>IF(OR(N30="",NOT(ISNUMBER(B30))),"",B30*N30)</f>
        <v/>
      </c>
      <c r="P30" s="1">
        <f>IF(OR(A30="",COUNTIF(Components!$A$8:$A$107,A30)&lt;&gt;1),"",IF(VLOOKUP(A30,Components!$A$8:$S$107,14,FALSE)="","",VLOOKUP(A30,Components!$A$8:$S$107,14,FALSE)))</f>
        <v/>
      </c>
      <c r="Q30" s="14">
        <f>IF(OR(A30="",COUNTIF(Components!$A$8:$A$107,A30)&lt;&gt;1),"",IF(VLOOKUP(A30,Components!$A$8:$S$107,15,FALSE)="","",VLOOKUP(A30,Components!$A$8:$S$107,15,FALSE)))</f>
        <v/>
      </c>
      <c r="R30" s="14">
        <f>IF(OR(A30="",COUNTIF(Components!$A$8:$A$107,A30)&lt;&gt;1),"",IF(VLOOKUP(A30,Components!$A$8:$S$107,16,FALSE)="","",VLOOKUP(A30,Components!$A$8:$S$107,16,FALSE)))</f>
        <v/>
      </c>
      <c r="S30" s="14">
        <f>IF(OR(A30="",COUNTIF(Components!$A$8:$A$107,A30)&lt;&gt;1),"",IF(VLOOKUP(A30,Components!$A$8:$S$107,17,FALSE)="","",VLOOKUP(A30,Components!$A$8:$S$107,17,FALSE)))</f>
        <v/>
      </c>
      <c r="T30" s="15">
        <f>IF(OR(A30="",COUNTIF(Components!$A$8:$A$107,A30)&lt;&gt;1),"",IF(VLOOKUP(A30,Components!$A$8:$S$107,18,FALSE)="","",VLOOKUP(A30,Components!$A$8:$S$107,18,FALSE)))</f>
        <v/>
      </c>
      <c r="U30" s="15">
        <f>IF(OR(T30="",NOT(ISNUMBER(B30))),"",B30*T30)</f>
        <v/>
      </c>
    </row>
    <row r="31" ht="48" customHeight="1">
      <c r="A31" s="4" t="n"/>
      <c r="B31" s="11" t="n"/>
      <c r="C31" s="6">
        <f>IF(A31="","",IF(COUNTIF(Components!$A$8:$A$107,A31)&lt;&gt;1,"Pending",VLOOKUP(A31,Components!$A$8:$F$107,5,FALSE)))</f>
        <v/>
      </c>
      <c r="D31" s="5" t="n"/>
      <c r="E31" s="6">
        <f>IF(A31="","",IF(ISBLANK(D31),C31,IF(AND(ISNUMBER(D31),D31&gt;=0),D31,"Pending")))</f>
        <v/>
      </c>
      <c r="F31" s="6">
        <f>IF(OR(G31="Catalog basis",G31="Override used"),B31*E31,"")</f>
        <v/>
      </c>
      <c r="G31" s="1">
        <f>IF(A31="",IF(OR(NOT(ISBLANK(B31)),NOT(ISBLANK(D31))),"Needs component",""),IF(COUNTIF(Components!$A$8:$A$107,A31)&lt;&gt;1,"Invalid component",IF(ISBLANK(B31),"Needs quantity",IF(NOT(ISNUMBER(B31)),"Invalid quantity",IF(OR(B31&lt;0,B31&lt;&gt;INT(B31)),"Invalid quantity",IF(NOT(ISNUMBER(E31)),"Needs heat input",IF(NOT(ISBLANK(D31)),"Override used","Catalog basis")))))))</f>
        <v/>
      </c>
      <c r="H31" s="1" t="n"/>
      <c r="I31" s="12">
        <f>IF(A31="","",IF(COUNTIF(Components!$A$8:$A$107,A31)&lt;&gt;1,"Select a unique catalog component",VLOOKUP(A31,Components!$A$8:$F$107,6,FALSE)))</f>
        <v/>
      </c>
      <c r="J31" s="1">
        <f>IF(OR(A31="",COUNTIF(Components!$A$8:$A$107,A31)&lt;&gt;1),"",IF(VLOOKUP(A31,Components!$A$8:$S$107,9,FALSE)="","",VLOOKUP(A31,Components!$A$8:$S$107,9,FALSE)))</f>
        <v/>
      </c>
      <c r="K31" s="14">
        <f>IF(OR(A31="",COUNTIF(Components!$A$8:$A$107,A31)&lt;&gt;1),"",IF(VLOOKUP(A31,Components!$A$8:$S$107,10,FALSE)="","",VLOOKUP(A31,Components!$A$8:$S$107,10,FALSE)))</f>
        <v/>
      </c>
      <c r="L31" s="14">
        <f>IF(OR(A31="",COUNTIF(Components!$A$8:$A$107,A31)&lt;&gt;1),"",IF(VLOOKUP(A31,Components!$A$8:$S$107,11,FALSE)="","",VLOOKUP(A31,Components!$A$8:$S$107,11,FALSE)))</f>
        <v/>
      </c>
      <c r="M31" s="14">
        <f>IF(OR(A31="",COUNTIF(Components!$A$8:$A$107,A31)&lt;&gt;1),"",IF(VLOOKUP(A31,Components!$A$8:$S$107,12,FALSE)="","",VLOOKUP(A31,Components!$A$8:$S$107,12,FALSE)))</f>
        <v/>
      </c>
      <c r="N31" s="15">
        <f>IF(OR(A31="",COUNTIF(Components!$A$8:$A$107,A31)&lt;&gt;1),"",IF(VLOOKUP(A31,Components!$A$8:$S$107,13,FALSE)="","",VLOOKUP(A31,Components!$A$8:$S$107,13,FALSE)))</f>
        <v/>
      </c>
      <c r="O31" s="15">
        <f>IF(OR(N31="",NOT(ISNUMBER(B31))),"",B31*N31)</f>
        <v/>
      </c>
      <c r="P31" s="1">
        <f>IF(OR(A31="",COUNTIF(Components!$A$8:$A$107,A31)&lt;&gt;1),"",IF(VLOOKUP(A31,Components!$A$8:$S$107,14,FALSE)="","",VLOOKUP(A31,Components!$A$8:$S$107,14,FALSE)))</f>
        <v/>
      </c>
      <c r="Q31" s="14">
        <f>IF(OR(A31="",COUNTIF(Components!$A$8:$A$107,A31)&lt;&gt;1),"",IF(VLOOKUP(A31,Components!$A$8:$S$107,15,FALSE)="","",VLOOKUP(A31,Components!$A$8:$S$107,15,FALSE)))</f>
        <v/>
      </c>
      <c r="R31" s="14">
        <f>IF(OR(A31="",COUNTIF(Components!$A$8:$A$107,A31)&lt;&gt;1),"",IF(VLOOKUP(A31,Components!$A$8:$S$107,16,FALSE)="","",VLOOKUP(A31,Components!$A$8:$S$107,16,FALSE)))</f>
        <v/>
      </c>
      <c r="S31" s="14">
        <f>IF(OR(A31="",COUNTIF(Components!$A$8:$A$107,A31)&lt;&gt;1),"",IF(VLOOKUP(A31,Components!$A$8:$S$107,17,FALSE)="","",VLOOKUP(A31,Components!$A$8:$S$107,17,FALSE)))</f>
        <v/>
      </c>
      <c r="T31" s="15">
        <f>IF(OR(A31="",COUNTIF(Components!$A$8:$A$107,A31)&lt;&gt;1),"",IF(VLOOKUP(A31,Components!$A$8:$S$107,18,FALSE)="","",VLOOKUP(A31,Components!$A$8:$S$107,18,FALSE)))</f>
        <v/>
      </c>
      <c r="U31" s="15">
        <f>IF(OR(T31="",NOT(ISNUMBER(B31))),"",B31*T31)</f>
        <v/>
      </c>
    </row>
    <row r="32" ht="48" customHeight="1">
      <c r="A32" s="4" t="n"/>
      <c r="B32" s="11" t="n"/>
      <c r="C32" s="6">
        <f>IF(A32="","",IF(COUNTIF(Components!$A$8:$A$107,A32)&lt;&gt;1,"Pending",VLOOKUP(A32,Components!$A$8:$F$107,5,FALSE)))</f>
        <v/>
      </c>
      <c r="D32" s="5" t="n"/>
      <c r="E32" s="6">
        <f>IF(A32="","",IF(ISBLANK(D32),C32,IF(AND(ISNUMBER(D32),D32&gt;=0),D32,"Pending")))</f>
        <v/>
      </c>
      <c r="F32" s="6">
        <f>IF(OR(G32="Catalog basis",G32="Override used"),B32*E32,"")</f>
        <v/>
      </c>
      <c r="G32" s="1">
        <f>IF(A32="",IF(OR(NOT(ISBLANK(B32)),NOT(ISBLANK(D32))),"Needs component",""),IF(COUNTIF(Components!$A$8:$A$107,A32)&lt;&gt;1,"Invalid component",IF(ISBLANK(B32),"Needs quantity",IF(NOT(ISNUMBER(B32)),"Invalid quantity",IF(OR(B32&lt;0,B32&lt;&gt;INT(B32)),"Invalid quantity",IF(NOT(ISNUMBER(E32)),"Needs heat input",IF(NOT(ISBLANK(D32)),"Override used","Catalog basis")))))))</f>
        <v/>
      </c>
      <c r="H32" s="1" t="n"/>
      <c r="I32" s="12">
        <f>IF(A32="","",IF(COUNTIF(Components!$A$8:$A$107,A32)&lt;&gt;1,"Select a unique catalog component",VLOOKUP(A32,Components!$A$8:$F$107,6,FALSE)))</f>
        <v/>
      </c>
      <c r="J32" s="1">
        <f>IF(OR(A32="",COUNTIF(Components!$A$8:$A$107,A32)&lt;&gt;1),"",IF(VLOOKUP(A32,Components!$A$8:$S$107,9,FALSE)="","",VLOOKUP(A32,Components!$A$8:$S$107,9,FALSE)))</f>
        <v/>
      </c>
      <c r="K32" s="14">
        <f>IF(OR(A32="",COUNTIF(Components!$A$8:$A$107,A32)&lt;&gt;1),"",IF(VLOOKUP(A32,Components!$A$8:$S$107,10,FALSE)="","",VLOOKUP(A32,Components!$A$8:$S$107,10,FALSE)))</f>
        <v/>
      </c>
      <c r="L32" s="14">
        <f>IF(OR(A32="",COUNTIF(Components!$A$8:$A$107,A32)&lt;&gt;1),"",IF(VLOOKUP(A32,Components!$A$8:$S$107,11,FALSE)="","",VLOOKUP(A32,Components!$A$8:$S$107,11,FALSE)))</f>
        <v/>
      </c>
      <c r="M32" s="14">
        <f>IF(OR(A32="",COUNTIF(Components!$A$8:$A$107,A32)&lt;&gt;1),"",IF(VLOOKUP(A32,Components!$A$8:$S$107,12,FALSE)="","",VLOOKUP(A32,Components!$A$8:$S$107,12,FALSE)))</f>
        <v/>
      </c>
      <c r="N32" s="15">
        <f>IF(OR(A32="",COUNTIF(Components!$A$8:$A$107,A32)&lt;&gt;1),"",IF(VLOOKUP(A32,Components!$A$8:$S$107,13,FALSE)="","",VLOOKUP(A32,Components!$A$8:$S$107,13,FALSE)))</f>
        <v/>
      </c>
      <c r="O32" s="15">
        <f>IF(OR(N32="",NOT(ISNUMBER(B32))),"",B32*N32)</f>
        <v/>
      </c>
      <c r="P32" s="1">
        <f>IF(OR(A32="",COUNTIF(Components!$A$8:$A$107,A32)&lt;&gt;1),"",IF(VLOOKUP(A32,Components!$A$8:$S$107,14,FALSE)="","",VLOOKUP(A32,Components!$A$8:$S$107,14,FALSE)))</f>
        <v/>
      </c>
      <c r="Q32" s="14">
        <f>IF(OR(A32="",COUNTIF(Components!$A$8:$A$107,A32)&lt;&gt;1),"",IF(VLOOKUP(A32,Components!$A$8:$S$107,15,FALSE)="","",VLOOKUP(A32,Components!$A$8:$S$107,15,FALSE)))</f>
        <v/>
      </c>
      <c r="R32" s="14">
        <f>IF(OR(A32="",COUNTIF(Components!$A$8:$A$107,A32)&lt;&gt;1),"",IF(VLOOKUP(A32,Components!$A$8:$S$107,16,FALSE)="","",VLOOKUP(A32,Components!$A$8:$S$107,16,FALSE)))</f>
        <v/>
      </c>
      <c r="S32" s="14">
        <f>IF(OR(A32="",COUNTIF(Components!$A$8:$A$107,A32)&lt;&gt;1),"",IF(VLOOKUP(A32,Components!$A$8:$S$107,17,FALSE)="","",VLOOKUP(A32,Components!$A$8:$S$107,17,FALSE)))</f>
        <v/>
      </c>
      <c r="T32" s="15">
        <f>IF(OR(A32="",COUNTIF(Components!$A$8:$A$107,A32)&lt;&gt;1),"",IF(VLOOKUP(A32,Components!$A$8:$S$107,18,FALSE)="","",VLOOKUP(A32,Components!$A$8:$S$107,18,FALSE)))</f>
        <v/>
      </c>
      <c r="U32" s="15">
        <f>IF(OR(T32="",NOT(ISNUMBER(B32))),"",B32*T32)</f>
        <v/>
      </c>
    </row>
    <row r="33" ht="48" customHeight="1">
      <c r="A33" s="4" t="n"/>
      <c r="B33" s="11" t="n"/>
      <c r="C33" s="6">
        <f>IF(A33="","",IF(COUNTIF(Components!$A$8:$A$107,A33)&lt;&gt;1,"Pending",VLOOKUP(A33,Components!$A$8:$F$107,5,FALSE)))</f>
        <v/>
      </c>
      <c r="D33" s="5" t="n"/>
      <c r="E33" s="6">
        <f>IF(A33="","",IF(ISBLANK(D33),C33,IF(AND(ISNUMBER(D33),D33&gt;=0),D33,"Pending")))</f>
        <v/>
      </c>
      <c r="F33" s="6">
        <f>IF(OR(G33="Catalog basis",G33="Override used"),B33*E33,"")</f>
        <v/>
      </c>
      <c r="G33" s="1">
        <f>IF(A33="",IF(OR(NOT(ISBLANK(B33)),NOT(ISBLANK(D33))),"Needs component",""),IF(COUNTIF(Components!$A$8:$A$107,A33)&lt;&gt;1,"Invalid component",IF(ISBLANK(B33),"Needs quantity",IF(NOT(ISNUMBER(B33)),"Invalid quantity",IF(OR(B33&lt;0,B33&lt;&gt;INT(B33)),"Invalid quantity",IF(NOT(ISNUMBER(E33)),"Needs heat input",IF(NOT(ISBLANK(D33)),"Override used","Catalog basis")))))))</f>
        <v/>
      </c>
      <c r="H33" s="1" t="n"/>
      <c r="I33" s="12">
        <f>IF(A33="","",IF(COUNTIF(Components!$A$8:$A$107,A33)&lt;&gt;1,"Select a unique catalog component",VLOOKUP(A33,Components!$A$8:$F$107,6,FALSE)))</f>
        <v/>
      </c>
      <c r="J33" s="1">
        <f>IF(OR(A33="",COUNTIF(Components!$A$8:$A$107,A33)&lt;&gt;1),"",IF(VLOOKUP(A33,Components!$A$8:$S$107,9,FALSE)="","",VLOOKUP(A33,Components!$A$8:$S$107,9,FALSE)))</f>
        <v/>
      </c>
      <c r="K33" s="14">
        <f>IF(OR(A33="",COUNTIF(Components!$A$8:$A$107,A33)&lt;&gt;1),"",IF(VLOOKUP(A33,Components!$A$8:$S$107,10,FALSE)="","",VLOOKUP(A33,Components!$A$8:$S$107,10,FALSE)))</f>
        <v/>
      </c>
      <c r="L33" s="14">
        <f>IF(OR(A33="",COUNTIF(Components!$A$8:$A$107,A33)&lt;&gt;1),"",IF(VLOOKUP(A33,Components!$A$8:$S$107,11,FALSE)="","",VLOOKUP(A33,Components!$A$8:$S$107,11,FALSE)))</f>
        <v/>
      </c>
      <c r="M33" s="14">
        <f>IF(OR(A33="",COUNTIF(Components!$A$8:$A$107,A33)&lt;&gt;1),"",IF(VLOOKUP(A33,Components!$A$8:$S$107,12,FALSE)="","",VLOOKUP(A33,Components!$A$8:$S$107,12,FALSE)))</f>
        <v/>
      </c>
      <c r="N33" s="15">
        <f>IF(OR(A33="",COUNTIF(Components!$A$8:$A$107,A33)&lt;&gt;1),"",IF(VLOOKUP(A33,Components!$A$8:$S$107,13,FALSE)="","",VLOOKUP(A33,Components!$A$8:$S$107,13,FALSE)))</f>
        <v/>
      </c>
      <c r="O33" s="15">
        <f>IF(OR(N33="",NOT(ISNUMBER(B33))),"",B33*N33)</f>
        <v/>
      </c>
      <c r="P33" s="1">
        <f>IF(OR(A33="",COUNTIF(Components!$A$8:$A$107,A33)&lt;&gt;1),"",IF(VLOOKUP(A33,Components!$A$8:$S$107,14,FALSE)="","",VLOOKUP(A33,Components!$A$8:$S$107,14,FALSE)))</f>
        <v/>
      </c>
      <c r="Q33" s="14">
        <f>IF(OR(A33="",COUNTIF(Components!$A$8:$A$107,A33)&lt;&gt;1),"",IF(VLOOKUP(A33,Components!$A$8:$S$107,15,FALSE)="","",VLOOKUP(A33,Components!$A$8:$S$107,15,FALSE)))</f>
        <v/>
      </c>
      <c r="R33" s="14">
        <f>IF(OR(A33="",COUNTIF(Components!$A$8:$A$107,A33)&lt;&gt;1),"",IF(VLOOKUP(A33,Components!$A$8:$S$107,16,FALSE)="","",VLOOKUP(A33,Components!$A$8:$S$107,16,FALSE)))</f>
        <v/>
      </c>
      <c r="S33" s="14">
        <f>IF(OR(A33="",COUNTIF(Components!$A$8:$A$107,A33)&lt;&gt;1),"",IF(VLOOKUP(A33,Components!$A$8:$S$107,17,FALSE)="","",VLOOKUP(A33,Components!$A$8:$S$107,17,FALSE)))</f>
        <v/>
      </c>
      <c r="T33" s="15">
        <f>IF(OR(A33="",COUNTIF(Components!$A$8:$A$107,A33)&lt;&gt;1),"",IF(VLOOKUP(A33,Components!$A$8:$S$107,18,FALSE)="","",VLOOKUP(A33,Components!$A$8:$S$107,18,FALSE)))</f>
        <v/>
      </c>
      <c r="U33" s="15">
        <f>IF(OR(T33="",NOT(ISNUMBER(B33))),"",B33*T33)</f>
        <v/>
      </c>
    </row>
    <row r="34" ht="48" customHeight="1">
      <c r="A34" s="4" t="n"/>
      <c r="B34" s="11" t="n"/>
      <c r="C34" s="6">
        <f>IF(A34="","",IF(COUNTIF(Components!$A$8:$A$107,A34)&lt;&gt;1,"Pending",VLOOKUP(A34,Components!$A$8:$F$107,5,FALSE)))</f>
        <v/>
      </c>
      <c r="D34" s="5" t="n"/>
      <c r="E34" s="6">
        <f>IF(A34="","",IF(ISBLANK(D34),C34,IF(AND(ISNUMBER(D34),D34&gt;=0),D34,"Pending")))</f>
        <v/>
      </c>
      <c r="F34" s="6">
        <f>IF(OR(G34="Catalog basis",G34="Override used"),B34*E34,"")</f>
        <v/>
      </c>
      <c r="G34" s="1">
        <f>IF(A34="",IF(OR(NOT(ISBLANK(B34)),NOT(ISBLANK(D34))),"Needs component",""),IF(COUNTIF(Components!$A$8:$A$107,A34)&lt;&gt;1,"Invalid component",IF(ISBLANK(B34),"Needs quantity",IF(NOT(ISNUMBER(B34)),"Invalid quantity",IF(OR(B34&lt;0,B34&lt;&gt;INT(B34)),"Invalid quantity",IF(NOT(ISNUMBER(E34)),"Needs heat input",IF(NOT(ISBLANK(D34)),"Override used","Catalog basis")))))))</f>
        <v/>
      </c>
      <c r="H34" s="1" t="n"/>
      <c r="I34" s="12">
        <f>IF(A34="","",IF(COUNTIF(Components!$A$8:$A$107,A34)&lt;&gt;1,"Select a unique catalog component",VLOOKUP(A34,Components!$A$8:$F$107,6,FALSE)))</f>
        <v/>
      </c>
      <c r="J34" s="1">
        <f>IF(OR(A34="",COUNTIF(Components!$A$8:$A$107,A34)&lt;&gt;1),"",IF(VLOOKUP(A34,Components!$A$8:$S$107,9,FALSE)="","",VLOOKUP(A34,Components!$A$8:$S$107,9,FALSE)))</f>
        <v/>
      </c>
      <c r="K34" s="14">
        <f>IF(OR(A34="",COUNTIF(Components!$A$8:$A$107,A34)&lt;&gt;1),"",IF(VLOOKUP(A34,Components!$A$8:$S$107,10,FALSE)="","",VLOOKUP(A34,Components!$A$8:$S$107,10,FALSE)))</f>
        <v/>
      </c>
      <c r="L34" s="14">
        <f>IF(OR(A34="",COUNTIF(Components!$A$8:$A$107,A34)&lt;&gt;1),"",IF(VLOOKUP(A34,Components!$A$8:$S$107,11,FALSE)="","",VLOOKUP(A34,Components!$A$8:$S$107,11,FALSE)))</f>
        <v/>
      </c>
      <c r="M34" s="14">
        <f>IF(OR(A34="",COUNTIF(Components!$A$8:$A$107,A34)&lt;&gt;1),"",IF(VLOOKUP(A34,Components!$A$8:$S$107,12,FALSE)="","",VLOOKUP(A34,Components!$A$8:$S$107,12,FALSE)))</f>
        <v/>
      </c>
      <c r="N34" s="15">
        <f>IF(OR(A34="",COUNTIF(Components!$A$8:$A$107,A34)&lt;&gt;1),"",IF(VLOOKUP(A34,Components!$A$8:$S$107,13,FALSE)="","",VLOOKUP(A34,Components!$A$8:$S$107,13,FALSE)))</f>
        <v/>
      </c>
      <c r="O34" s="15">
        <f>IF(OR(N34="",NOT(ISNUMBER(B34))),"",B34*N34)</f>
        <v/>
      </c>
      <c r="P34" s="1">
        <f>IF(OR(A34="",COUNTIF(Components!$A$8:$A$107,A34)&lt;&gt;1),"",IF(VLOOKUP(A34,Components!$A$8:$S$107,14,FALSE)="","",VLOOKUP(A34,Components!$A$8:$S$107,14,FALSE)))</f>
        <v/>
      </c>
      <c r="Q34" s="14">
        <f>IF(OR(A34="",COUNTIF(Components!$A$8:$A$107,A34)&lt;&gt;1),"",IF(VLOOKUP(A34,Components!$A$8:$S$107,15,FALSE)="","",VLOOKUP(A34,Components!$A$8:$S$107,15,FALSE)))</f>
        <v/>
      </c>
      <c r="R34" s="14">
        <f>IF(OR(A34="",COUNTIF(Components!$A$8:$A$107,A34)&lt;&gt;1),"",IF(VLOOKUP(A34,Components!$A$8:$S$107,16,FALSE)="","",VLOOKUP(A34,Components!$A$8:$S$107,16,FALSE)))</f>
        <v/>
      </c>
      <c r="S34" s="14">
        <f>IF(OR(A34="",COUNTIF(Components!$A$8:$A$107,A34)&lt;&gt;1),"",IF(VLOOKUP(A34,Components!$A$8:$S$107,17,FALSE)="","",VLOOKUP(A34,Components!$A$8:$S$107,17,FALSE)))</f>
        <v/>
      </c>
      <c r="T34" s="15">
        <f>IF(OR(A34="",COUNTIF(Components!$A$8:$A$107,A34)&lt;&gt;1),"",IF(VLOOKUP(A34,Components!$A$8:$S$107,18,FALSE)="","",VLOOKUP(A34,Components!$A$8:$S$107,18,FALSE)))</f>
        <v/>
      </c>
      <c r="U34" s="15">
        <f>IF(OR(T34="",NOT(ISNUMBER(B34))),"",B34*T34)</f>
        <v/>
      </c>
    </row>
    <row r="35" ht="48" customHeight="1">
      <c r="A35" s="4" t="n"/>
      <c r="B35" s="11" t="n"/>
      <c r="C35" s="6">
        <f>IF(A35="","",IF(COUNTIF(Components!$A$8:$A$107,A35)&lt;&gt;1,"Pending",VLOOKUP(A35,Components!$A$8:$F$107,5,FALSE)))</f>
        <v/>
      </c>
      <c r="D35" s="5" t="n"/>
      <c r="E35" s="6">
        <f>IF(A35="","",IF(ISBLANK(D35),C35,IF(AND(ISNUMBER(D35),D35&gt;=0),D35,"Pending")))</f>
        <v/>
      </c>
      <c r="F35" s="6">
        <f>IF(OR(G35="Catalog basis",G35="Override used"),B35*E35,"")</f>
        <v/>
      </c>
      <c r="G35" s="1">
        <f>IF(A35="",IF(OR(NOT(ISBLANK(B35)),NOT(ISBLANK(D35))),"Needs component",""),IF(COUNTIF(Components!$A$8:$A$107,A35)&lt;&gt;1,"Invalid component",IF(ISBLANK(B35),"Needs quantity",IF(NOT(ISNUMBER(B35)),"Invalid quantity",IF(OR(B35&lt;0,B35&lt;&gt;INT(B35)),"Invalid quantity",IF(NOT(ISNUMBER(E35)),"Needs heat input",IF(NOT(ISBLANK(D35)),"Override used","Catalog basis")))))))</f>
        <v/>
      </c>
      <c r="H35" s="1" t="n"/>
      <c r="I35" s="12">
        <f>IF(A35="","",IF(COUNTIF(Components!$A$8:$A$107,A35)&lt;&gt;1,"Select a unique catalog component",VLOOKUP(A35,Components!$A$8:$F$107,6,FALSE)))</f>
        <v/>
      </c>
      <c r="J35" s="1">
        <f>IF(OR(A35="",COUNTIF(Components!$A$8:$A$107,A35)&lt;&gt;1),"",IF(VLOOKUP(A35,Components!$A$8:$S$107,9,FALSE)="","",VLOOKUP(A35,Components!$A$8:$S$107,9,FALSE)))</f>
        <v/>
      </c>
      <c r="K35" s="14">
        <f>IF(OR(A35="",COUNTIF(Components!$A$8:$A$107,A35)&lt;&gt;1),"",IF(VLOOKUP(A35,Components!$A$8:$S$107,10,FALSE)="","",VLOOKUP(A35,Components!$A$8:$S$107,10,FALSE)))</f>
        <v/>
      </c>
      <c r="L35" s="14">
        <f>IF(OR(A35="",COUNTIF(Components!$A$8:$A$107,A35)&lt;&gt;1),"",IF(VLOOKUP(A35,Components!$A$8:$S$107,11,FALSE)="","",VLOOKUP(A35,Components!$A$8:$S$107,11,FALSE)))</f>
        <v/>
      </c>
      <c r="M35" s="14">
        <f>IF(OR(A35="",COUNTIF(Components!$A$8:$A$107,A35)&lt;&gt;1),"",IF(VLOOKUP(A35,Components!$A$8:$S$107,12,FALSE)="","",VLOOKUP(A35,Components!$A$8:$S$107,12,FALSE)))</f>
        <v/>
      </c>
      <c r="N35" s="15">
        <f>IF(OR(A35="",COUNTIF(Components!$A$8:$A$107,A35)&lt;&gt;1),"",IF(VLOOKUP(A35,Components!$A$8:$S$107,13,FALSE)="","",VLOOKUP(A35,Components!$A$8:$S$107,13,FALSE)))</f>
        <v/>
      </c>
      <c r="O35" s="15">
        <f>IF(OR(N35="",NOT(ISNUMBER(B35))),"",B35*N35)</f>
        <v/>
      </c>
      <c r="P35" s="1">
        <f>IF(OR(A35="",COUNTIF(Components!$A$8:$A$107,A35)&lt;&gt;1),"",IF(VLOOKUP(A35,Components!$A$8:$S$107,14,FALSE)="","",VLOOKUP(A35,Components!$A$8:$S$107,14,FALSE)))</f>
        <v/>
      </c>
      <c r="Q35" s="14">
        <f>IF(OR(A35="",COUNTIF(Components!$A$8:$A$107,A35)&lt;&gt;1),"",IF(VLOOKUP(A35,Components!$A$8:$S$107,15,FALSE)="","",VLOOKUP(A35,Components!$A$8:$S$107,15,FALSE)))</f>
        <v/>
      </c>
      <c r="R35" s="14">
        <f>IF(OR(A35="",COUNTIF(Components!$A$8:$A$107,A35)&lt;&gt;1),"",IF(VLOOKUP(A35,Components!$A$8:$S$107,16,FALSE)="","",VLOOKUP(A35,Components!$A$8:$S$107,16,FALSE)))</f>
        <v/>
      </c>
      <c r="S35" s="14">
        <f>IF(OR(A35="",COUNTIF(Components!$A$8:$A$107,A35)&lt;&gt;1),"",IF(VLOOKUP(A35,Components!$A$8:$S$107,17,FALSE)="","",VLOOKUP(A35,Components!$A$8:$S$107,17,FALSE)))</f>
        <v/>
      </c>
      <c r="T35" s="15">
        <f>IF(OR(A35="",COUNTIF(Components!$A$8:$A$107,A35)&lt;&gt;1),"",IF(VLOOKUP(A35,Components!$A$8:$S$107,18,FALSE)="","",VLOOKUP(A35,Components!$A$8:$S$107,18,FALSE)))</f>
        <v/>
      </c>
      <c r="U35" s="15">
        <f>IF(OR(T35="",NOT(ISNUMBER(B35))),"",B35*T35)</f>
        <v/>
      </c>
    </row>
    <row r="36" ht="48" customHeight="1">
      <c r="A36" s="4" t="n"/>
      <c r="B36" s="11" t="n"/>
      <c r="C36" s="6">
        <f>IF(A36="","",IF(COUNTIF(Components!$A$8:$A$107,A36)&lt;&gt;1,"Pending",VLOOKUP(A36,Components!$A$8:$F$107,5,FALSE)))</f>
        <v/>
      </c>
      <c r="D36" s="5" t="n"/>
      <c r="E36" s="6">
        <f>IF(A36="","",IF(ISBLANK(D36),C36,IF(AND(ISNUMBER(D36),D36&gt;=0),D36,"Pending")))</f>
        <v/>
      </c>
      <c r="F36" s="6">
        <f>IF(OR(G36="Catalog basis",G36="Override used"),B36*E36,"")</f>
        <v/>
      </c>
      <c r="G36" s="1">
        <f>IF(A36="",IF(OR(NOT(ISBLANK(B36)),NOT(ISBLANK(D36))),"Needs component",""),IF(COUNTIF(Components!$A$8:$A$107,A36)&lt;&gt;1,"Invalid component",IF(ISBLANK(B36),"Needs quantity",IF(NOT(ISNUMBER(B36)),"Invalid quantity",IF(OR(B36&lt;0,B36&lt;&gt;INT(B36)),"Invalid quantity",IF(NOT(ISNUMBER(E36)),"Needs heat input",IF(NOT(ISBLANK(D36)),"Override used","Catalog basis")))))))</f>
        <v/>
      </c>
      <c r="H36" s="1" t="n"/>
      <c r="I36" s="12">
        <f>IF(A36="","",IF(COUNTIF(Components!$A$8:$A$107,A36)&lt;&gt;1,"Select a unique catalog component",VLOOKUP(A36,Components!$A$8:$F$107,6,FALSE)))</f>
        <v/>
      </c>
      <c r="J36" s="1">
        <f>IF(OR(A36="",COUNTIF(Components!$A$8:$A$107,A36)&lt;&gt;1),"",IF(VLOOKUP(A36,Components!$A$8:$S$107,9,FALSE)="","",VLOOKUP(A36,Components!$A$8:$S$107,9,FALSE)))</f>
        <v/>
      </c>
      <c r="K36" s="14">
        <f>IF(OR(A36="",COUNTIF(Components!$A$8:$A$107,A36)&lt;&gt;1),"",IF(VLOOKUP(A36,Components!$A$8:$S$107,10,FALSE)="","",VLOOKUP(A36,Components!$A$8:$S$107,10,FALSE)))</f>
        <v/>
      </c>
      <c r="L36" s="14">
        <f>IF(OR(A36="",COUNTIF(Components!$A$8:$A$107,A36)&lt;&gt;1),"",IF(VLOOKUP(A36,Components!$A$8:$S$107,11,FALSE)="","",VLOOKUP(A36,Components!$A$8:$S$107,11,FALSE)))</f>
        <v/>
      </c>
      <c r="M36" s="14">
        <f>IF(OR(A36="",COUNTIF(Components!$A$8:$A$107,A36)&lt;&gt;1),"",IF(VLOOKUP(A36,Components!$A$8:$S$107,12,FALSE)="","",VLOOKUP(A36,Components!$A$8:$S$107,12,FALSE)))</f>
        <v/>
      </c>
      <c r="N36" s="15">
        <f>IF(OR(A36="",COUNTIF(Components!$A$8:$A$107,A36)&lt;&gt;1),"",IF(VLOOKUP(A36,Components!$A$8:$S$107,13,FALSE)="","",VLOOKUP(A36,Components!$A$8:$S$107,13,FALSE)))</f>
        <v/>
      </c>
      <c r="O36" s="15">
        <f>IF(OR(N36="",NOT(ISNUMBER(B36))),"",B36*N36)</f>
        <v/>
      </c>
      <c r="P36" s="1">
        <f>IF(OR(A36="",COUNTIF(Components!$A$8:$A$107,A36)&lt;&gt;1),"",IF(VLOOKUP(A36,Components!$A$8:$S$107,14,FALSE)="","",VLOOKUP(A36,Components!$A$8:$S$107,14,FALSE)))</f>
        <v/>
      </c>
      <c r="Q36" s="14">
        <f>IF(OR(A36="",COUNTIF(Components!$A$8:$A$107,A36)&lt;&gt;1),"",IF(VLOOKUP(A36,Components!$A$8:$S$107,15,FALSE)="","",VLOOKUP(A36,Components!$A$8:$S$107,15,FALSE)))</f>
        <v/>
      </c>
      <c r="R36" s="14">
        <f>IF(OR(A36="",COUNTIF(Components!$A$8:$A$107,A36)&lt;&gt;1),"",IF(VLOOKUP(A36,Components!$A$8:$S$107,16,FALSE)="","",VLOOKUP(A36,Components!$A$8:$S$107,16,FALSE)))</f>
        <v/>
      </c>
      <c r="S36" s="14">
        <f>IF(OR(A36="",COUNTIF(Components!$A$8:$A$107,A36)&lt;&gt;1),"",IF(VLOOKUP(A36,Components!$A$8:$S$107,17,FALSE)="","",VLOOKUP(A36,Components!$A$8:$S$107,17,FALSE)))</f>
        <v/>
      </c>
      <c r="T36" s="15">
        <f>IF(OR(A36="",COUNTIF(Components!$A$8:$A$107,A36)&lt;&gt;1),"",IF(VLOOKUP(A36,Components!$A$8:$S$107,18,FALSE)="","",VLOOKUP(A36,Components!$A$8:$S$107,18,FALSE)))</f>
        <v/>
      </c>
      <c r="U36" s="15">
        <f>IF(OR(T36="",NOT(ISNUMBER(B36))),"",B36*T36)</f>
        <v/>
      </c>
    </row>
    <row r="37" ht="48" customHeight="1">
      <c r="A37" s="4" t="n"/>
      <c r="B37" s="11" t="n"/>
      <c r="C37" s="6">
        <f>IF(A37="","",IF(COUNTIF(Components!$A$8:$A$107,A37)&lt;&gt;1,"Pending",VLOOKUP(A37,Components!$A$8:$F$107,5,FALSE)))</f>
        <v/>
      </c>
      <c r="D37" s="5" t="n"/>
      <c r="E37" s="6">
        <f>IF(A37="","",IF(ISBLANK(D37),C37,IF(AND(ISNUMBER(D37),D37&gt;=0),D37,"Pending")))</f>
        <v/>
      </c>
      <c r="F37" s="6">
        <f>IF(OR(G37="Catalog basis",G37="Override used"),B37*E37,"")</f>
        <v/>
      </c>
      <c r="G37" s="1">
        <f>IF(A37="",IF(OR(NOT(ISBLANK(B37)),NOT(ISBLANK(D37))),"Needs component",""),IF(COUNTIF(Components!$A$8:$A$107,A37)&lt;&gt;1,"Invalid component",IF(ISBLANK(B37),"Needs quantity",IF(NOT(ISNUMBER(B37)),"Invalid quantity",IF(OR(B37&lt;0,B37&lt;&gt;INT(B37)),"Invalid quantity",IF(NOT(ISNUMBER(E37)),"Needs heat input",IF(NOT(ISBLANK(D37)),"Override used","Catalog basis")))))))</f>
        <v/>
      </c>
      <c r="H37" s="1" t="n"/>
      <c r="I37" s="12">
        <f>IF(A37="","",IF(COUNTIF(Components!$A$8:$A$107,A37)&lt;&gt;1,"Select a unique catalog component",VLOOKUP(A37,Components!$A$8:$F$107,6,FALSE)))</f>
        <v/>
      </c>
      <c r="J37" s="1">
        <f>IF(OR(A37="",COUNTIF(Components!$A$8:$A$107,A37)&lt;&gt;1),"",IF(VLOOKUP(A37,Components!$A$8:$S$107,9,FALSE)="","",VLOOKUP(A37,Components!$A$8:$S$107,9,FALSE)))</f>
        <v/>
      </c>
      <c r="K37" s="14">
        <f>IF(OR(A37="",COUNTIF(Components!$A$8:$A$107,A37)&lt;&gt;1),"",IF(VLOOKUP(A37,Components!$A$8:$S$107,10,FALSE)="","",VLOOKUP(A37,Components!$A$8:$S$107,10,FALSE)))</f>
        <v/>
      </c>
      <c r="L37" s="14">
        <f>IF(OR(A37="",COUNTIF(Components!$A$8:$A$107,A37)&lt;&gt;1),"",IF(VLOOKUP(A37,Components!$A$8:$S$107,11,FALSE)="","",VLOOKUP(A37,Components!$A$8:$S$107,11,FALSE)))</f>
        <v/>
      </c>
      <c r="M37" s="14">
        <f>IF(OR(A37="",COUNTIF(Components!$A$8:$A$107,A37)&lt;&gt;1),"",IF(VLOOKUP(A37,Components!$A$8:$S$107,12,FALSE)="","",VLOOKUP(A37,Components!$A$8:$S$107,12,FALSE)))</f>
        <v/>
      </c>
      <c r="N37" s="15">
        <f>IF(OR(A37="",COUNTIF(Components!$A$8:$A$107,A37)&lt;&gt;1),"",IF(VLOOKUP(A37,Components!$A$8:$S$107,13,FALSE)="","",VLOOKUP(A37,Components!$A$8:$S$107,13,FALSE)))</f>
        <v/>
      </c>
      <c r="O37" s="15">
        <f>IF(OR(N37="",NOT(ISNUMBER(B37))),"",B37*N37)</f>
        <v/>
      </c>
      <c r="P37" s="1">
        <f>IF(OR(A37="",COUNTIF(Components!$A$8:$A$107,A37)&lt;&gt;1),"",IF(VLOOKUP(A37,Components!$A$8:$S$107,14,FALSE)="","",VLOOKUP(A37,Components!$A$8:$S$107,14,FALSE)))</f>
        <v/>
      </c>
      <c r="Q37" s="14">
        <f>IF(OR(A37="",COUNTIF(Components!$A$8:$A$107,A37)&lt;&gt;1),"",IF(VLOOKUP(A37,Components!$A$8:$S$107,15,FALSE)="","",VLOOKUP(A37,Components!$A$8:$S$107,15,FALSE)))</f>
        <v/>
      </c>
      <c r="R37" s="14">
        <f>IF(OR(A37="",COUNTIF(Components!$A$8:$A$107,A37)&lt;&gt;1),"",IF(VLOOKUP(A37,Components!$A$8:$S$107,16,FALSE)="","",VLOOKUP(A37,Components!$A$8:$S$107,16,FALSE)))</f>
        <v/>
      </c>
      <c r="S37" s="14">
        <f>IF(OR(A37="",COUNTIF(Components!$A$8:$A$107,A37)&lt;&gt;1),"",IF(VLOOKUP(A37,Components!$A$8:$S$107,17,FALSE)="","",VLOOKUP(A37,Components!$A$8:$S$107,17,FALSE)))</f>
        <v/>
      </c>
      <c r="T37" s="15">
        <f>IF(OR(A37="",COUNTIF(Components!$A$8:$A$107,A37)&lt;&gt;1),"",IF(VLOOKUP(A37,Components!$A$8:$S$107,18,FALSE)="","",VLOOKUP(A37,Components!$A$8:$S$107,18,FALSE)))</f>
        <v/>
      </c>
      <c r="U37" s="15">
        <f>IF(OR(T37="",NOT(ISNUMBER(B37))),"",B37*T37)</f>
        <v/>
      </c>
    </row>
    <row r="38" ht="48" customHeight="1">
      <c r="A38" s="4" t="n"/>
      <c r="B38" s="11" t="n"/>
      <c r="C38" s="6">
        <f>IF(A38="","",IF(COUNTIF(Components!$A$8:$A$107,A38)&lt;&gt;1,"Pending",VLOOKUP(A38,Components!$A$8:$F$107,5,FALSE)))</f>
        <v/>
      </c>
      <c r="D38" s="5" t="n"/>
      <c r="E38" s="6">
        <f>IF(A38="","",IF(ISBLANK(D38),C38,IF(AND(ISNUMBER(D38),D38&gt;=0),D38,"Pending")))</f>
        <v/>
      </c>
      <c r="F38" s="6">
        <f>IF(OR(G38="Catalog basis",G38="Override used"),B38*E38,"")</f>
        <v/>
      </c>
      <c r="G38" s="1">
        <f>IF(A38="",IF(OR(NOT(ISBLANK(B38)),NOT(ISBLANK(D38))),"Needs component",""),IF(COUNTIF(Components!$A$8:$A$107,A38)&lt;&gt;1,"Invalid component",IF(ISBLANK(B38),"Needs quantity",IF(NOT(ISNUMBER(B38)),"Invalid quantity",IF(OR(B38&lt;0,B38&lt;&gt;INT(B38)),"Invalid quantity",IF(NOT(ISNUMBER(E38)),"Needs heat input",IF(NOT(ISBLANK(D38)),"Override used","Catalog basis")))))))</f>
        <v/>
      </c>
      <c r="H38" s="1" t="n"/>
      <c r="I38" s="12">
        <f>IF(A38="","",IF(COUNTIF(Components!$A$8:$A$107,A38)&lt;&gt;1,"Select a unique catalog component",VLOOKUP(A38,Components!$A$8:$F$107,6,FALSE)))</f>
        <v/>
      </c>
      <c r="J38" s="1">
        <f>IF(OR(A38="",COUNTIF(Components!$A$8:$A$107,A38)&lt;&gt;1),"",IF(VLOOKUP(A38,Components!$A$8:$S$107,9,FALSE)="","",VLOOKUP(A38,Components!$A$8:$S$107,9,FALSE)))</f>
        <v/>
      </c>
      <c r="K38" s="14">
        <f>IF(OR(A38="",COUNTIF(Components!$A$8:$A$107,A38)&lt;&gt;1),"",IF(VLOOKUP(A38,Components!$A$8:$S$107,10,FALSE)="","",VLOOKUP(A38,Components!$A$8:$S$107,10,FALSE)))</f>
        <v/>
      </c>
      <c r="L38" s="14">
        <f>IF(OR(A38="",COUNTIF(Components!$A$8:$A$107,A38)&lt;&gt;1),"",IF(VLOOKUP(A38,Components!$A$8:$S$107,11,FALSE)="","",VLOOKUP(A38,Components!$A$8:$S$107,11,FALSE)))</f>
        <v/>
      </c>
      <c r="M38" s="14">
        <f>IF(OR(A38="",COUNTIF(Components!$A$8:$A$107,A38)&lt;&gt;1),"",IF(VLOOKUP(A38,Components!$A$8:$S$107,12,FALSE)="","",VLOOKUP(A38,Components!$A$8:$S$107,12,FALSE)))</f>
        <v/>
      </c>
      <c r="N38" s="15">
        <f>IF(OR(A38="",COUNTIF(Components!$A$8:$A$107,A38)&lt;&gt;1),"",IF(VLOOKUP(A38,Components!$A$8:$S$107,13,FALSE)="","",VLOOKUP(A38,Components!$A$8:$S$107,13,FALSE)))</f>
        <v/>
      </c>
      <c r="O38" s="15">
        <f>IF(OR(N38="",NOT(ISNUMBER(B38))),"",B38*N38)</f>
        <v/>
      </c>
      <c r="P38" s="1">
        <f>IF(OR(A38="",COUNTIF(Components!$A$8:$A$107,A38)&lt;&gt;1),"",IF(VLOOKUP(A38,Components!$A$8:$S$107,14,FALSE)="","",VLOOKUP(A38,Components!$A$8:$S$107,14,FALSE)))</f>
        <v/>
      </c>
      <c r="Q38" s="14">
        <f>IF(OR(A38="",COUNTIF(Components!$A$8:$A$107,A38)&lt;&gt;1),"",IF(VLOOKUP(A38,Components!$A$8:$S$107,15,FALSE)="","",VLOOKUP(A38,Components!$A$8:$S$107,15,FALSE)))</f>
        <v/>
      </c>
      <c r="R38" s="14">
        <f>IF(OR(A38="",COUNTIF(Components!$A$8:$A$107,A38)&lt;&gt;1),"",IF(VLOOKUP(A38,Components!$A$8:$S$107,16,FALSE)="","",VLOOKUP(A38,Components!$A$8:$S$107,16,FALSE)))</f>
        <v/>
      </c>
      <c r="S38" s="14">
        <f>IF(OR(A38="",COUNTIF(Components!$A$8:$A$107,A38)&lt;&gt;1),"",IF(VLOOKUP(A38,Components!$A$8:$S$107,17,FALSE)="","",VLOOKUP(A38,Components!$A$8:$S$107,17,FALSE)))</f>
        <v/>
      </c>
      <c r="T38" s="15">
        <f>IF(OR(A38="",COUNTIF(Components!$A$8:$A$107,A38)&lt;&gt;1),"",IF(VLOOKUP(A38,Components!$A$8:$S$107,18,FALSE)="","",VLOOKUP(A38,Components!$A$8:$S$107,18,FALSE)))</f>
        <v/>
      </c>
      <c r="U38" s="15">
        <f>IF(OR(T38="",NOT(ISNUMBER(B38))),"",B38*T38)</f>
        <v/>
      </c>
    </row>
    <row r="39" ht="48" customHeight="1">
      <c r="A39" s="4" t="n"/>
      <c r="B39" s="11" t="n"/>
      <c r="C39" s="6">
        <f>IF(A39="","",IF(COUNTIF(Components!$A$8:$A$107,A39)&lt;&gt;1,"Pending",VLOOKUP(A39,Components!$A$8:$F$107,5,FALSE)))</f>
        <v/>
      </c>
      <c r="D39" s="5" t="n"/>
      <c r="E39" s="6">
        <f>IF(A39="","",IF(ISBLANK(D39),C39,IF(AND(ISNUMBER(D39),D39&gt;=0),D39,"Pending")))</f>
        <v/>
      </c>
      <c r="F39" s="6">
        <f>IF(OR(G39="Catalog basis",G39="Override used"),B39*E39,"")</f>
        <v/>
      </c>
      <c r="G39" s="1">
        <f>IF(A39="",IF(OR(NOT(ISBLANK(B39)),NOT(ISBLANK(D39))),"Needs component",""),IF(COUNTIF(Components!$A$8:$A$107,A39)&lt;&gt;1,"Invalid component",IF(ISBLANK(B39),"Needs quantity",IF(NOT(ISNUMBER(B39)),"Invalid quantity",IF(OR(B39&lt;0,B39&lt;&gt;INT(B39)),"Invalid quantity",IF(NOT(ISNUMBER(E39)),"Needs heat input",IF(NOT(ISBLANK(D39)),"Override used","Catalog basis")))))))</f>
        <v/>
      </c>
      <c r="H39" s="1" t="n"/>
      <c r="I39" s="12">
        <f>IF(A39="","",IF(COUNTIF(Components!$A$8:$A$107,A39)&lt;&gt;1,"Select a unique catalog component",VLOOKUP(A39,Components!$A$8:$F$107,6,FALSE)))</f>
        <v/>
      </c>
      <c r="J39" s="1">
        <f>IF(OR(A39="",COUNTIF(Components!$A$8:$A$107,A39)&lt;&gt;1),"",IF(VLOOKUP(A39,Components!$A$8:$S$107,9,FALSE)="","",VLOOKUP(A39,Components!$A$8:$S$107,9,FALSE)))</f>
        <v/>
      </c>
      <c r="K39" s="14">
        <f>IF(OR(A39="",COUNTIF(Components!$A$8:$A$107,A39)&lt;&gt;1),"",IF(VLOOKUP(A39,Components!$A$8:$S$107,10,FALSE)="","",VLOOKUP(A39,Components!$A$8:$S$107,10,FALSE)))</f>
        <v/>
      </c>
      <c r="L39" s="14">
        <f>IF(OR(A39="",COUNTIF(Components!$A$8:$A$107,A39)&lt;&gt;1),"",IF(VLOOKUP(A39,Components!$A$8:$S$107,11,FALSE)="","",VLOOKUP(A39,Components!$A$8:$S$107,11,FALSE)))</f>
        <v/>
      </c>
      <c r="M39" s="14">
        <f>IF(OR(A39="",COUNTIF(Components!$A$8:$A$107,A39)&lt;&gt;1),"",IF(VLOOKUP(A39,Components!$A$8:$S$107,12,FALSE)="","",VLOOKUP(A39,Components!$A$8:$S$107,12,FALSE)))</f>
        <v/>
      </c>
      <c r="N39" s="15">
        <f>IF(OR(A39="",COUNTIF(Components!$A$8:$A$107,A39)&lt;&gt;1),"",IF(VLOOKUP(A39,Components!$A$8:$S$107,13,FALSE)="","",VLOOKUP(A39,Components!$A$8:$S$107,13,FALSE)))</f>
        <v/>
      </c>
      <c r="O39" s="15">
        <f>IF(OR(N39="",NOT(ISNUMBER(B39))),"",B39*N39)</f>
        <v/>
      </c>
      <c r="P39" s="1">
        <f>IF(OR(A39="",COUNTIF(Components!$A$8:$A$107,A39)&lt;&gt;1),"",IF(VLOOKUP(A39,Components!$A$8:$S$107,14,FALSE)="","",VLOOKUP(A39,Components!$A$8:$S$107,14,FALSE)))</f>
        <v/>
      </c>
      <c r="Q39" s="14">
        <f>IF(OR(A39="",COUNTIF(Components!$A$8:$A$107,A39)&lt;&gt;1),"",IF(VLOOKUP(A39,Components!$A$8:$S$107,15,FALSE)="","",VLOOKUP(A39,Components!$A$8:$S$107,15,FALSE)))</f>
        <v/>
      </c>
      <c r="R39" s="14">
        <f>IF(OR(A39="",COUNTIF(Components!$A$8:$A$107,A39)&lt;&gt;1),"",IF(VLOOKUP(A39,Components!$A$8:$S$107,16,FALSE)="","",VLOOKUP(A39,Components!$A$8:$S$107,16,FALSE)))</f>
        <v/>
      </c>
      <c r="S39" s="14">
        <f>IF(OR(A39="",COUNTIF(Components!$A$8:$A$107,A39)&lt;&gt;1),"",IF(VLOOKUP(A39,Components!$A$8:$S$107,17,FALSE)="","",VLOOKUP(A39,Components!$A$8:$S$107,17,FALSE)))</f>
        <v/>
      </c>
      <c r="T39" s="15">
        <f>IF(OR(A39="",COUNTIF(Components!$A$8:$A$107,A39)&lt;&gt;1),"",IF(VLOOKUP(A39,Components!$A$8:$S$107,18,FALSE)="","",VLOOKUP(A39,Components!$A$8:$S$107,18,FALSE)))</f>
        <v/>
      </c>
      <c r="U39" s="15">
        <f>IF(OR(T39="",NOT(ISNUMBER(B39))),"",B39*T39)</f>
        <v/>
      </c>
    </row>
    <row r="40" ht="48" customHeight="1">
      <c r="A40" s="4" t="n"/>
      <c r="B40" s="11" t="n"/>
      <c r="C40" s="6">
        <f>IF(A40="","",IF(COUNTIF(Components!$A$8:$A$107,A40)&lt;&gt;1,"Pending",VLOOKUP(A40,Components!$A$8:$F$107,5,FALSE)))</f>
        <v/>
      </c>
      <c r="D40" s="5" t="n"/>
      <c r="E40" s="6">
        <f>IF(A40="","",IF(ISBLANK(D40),C40,IF(AND(ISNUMBER(D40),D40&gt;=0),D40,"Pending")))</f>
        <v/>
      </c>
      <c r="F40" s="6">
        <f>IF(OR(G40="Catalog basis",G40="Override used"),B40*E40,"")</f>
        <v/>
      </c>
      <c r="G40" s="1">
        <f>IF(A40="",IF(OR(NOT(ISBLANK(B40)),NOT(ISBLANK(D40))),"Needs component",""),IF(COUNTIF(Components!$A$8:$A$107,A40)&lt;&gt;1,"Invalid component",IF(ISBLANK(B40),"Needs quantity",IF(NOT(ISNUMBER(B40)),"Invalid quantity",IF(OR(B40&lt;0,B40&lt;&gt;INT(B40)),"Invalid quantity",IF(NOT(ISNUMBER(E40)),"Needs heat input",IF(NOT(ISBLANK(D40)),"Override used","Catalog basis")))))))</f>
        <v/>
      </c>
      <c r="H40" s="1" t="n"/>
      <c r="I40" s="12">
        <f>IF(A40="","",IF(COUNTIF(Components!$A$8:$A$107,A40)&lt;&gt;1,"Select a unique catalog component",VLOOKUP(A40,Components!$A$8:$F$107,6,FALSE)))</f>
        <v/>
      </c>
      <c r="J40" s="1">
        <f>IF(OR(A40="",COUNTIF(Components!$A$8:$A$107,A40)&lt;&gt;1),"",IF(VLOOKUP(A40,Components!$A$8:$S$107,9,FALSE)="","",VLOOKUP(A40,Components!$A$8:$S$107,9,FALSE)))</f>
        <v/>
      </c>
      <c r="K40" s="14">
        <f>IF(OR(A40="",COUNTIF(Components!$A$8:$A$107,A40)&lt;&gt;1),"",IF(VLOOKUP(A40,Components!$A$8:$S$107,10,FALSE)="","",VLOOKUP(A40,Components!$A$8:$S$107,10,FALSE)))</f>
        <v/>
      </c>
      <c r="L40" s="14">
        <f>IF(OR(A40="",COUNTIF(Components!$A$8:$A$107,A40)&lt;&gt;1),"",IF(VLOOKUP(A40,Components!$A$8:$S$107,11,FALSE)="","",VLOOKUP(A40,Components!$A$8:$S$107,11,FALSE)))</f>
        <v/>
      </c>
      <c r="M40" s="14">
        <f>IF(OR(A40="",COUNTIF(Components!$A$8:$A$107,A40)&lt;&gt;1),"",IF(VLOOKUP(A40,Components!$A$8:$S$107,12,FALSE)="","",VLOOKUP(A40,Components!$A$8:$S$107,12,FALSE)))</f>
        <v/>
      </c>
      <c r="N40" s="15">
        <f>IF(OR(A40="",COUNTIF(Components!$A$8:$A$107,A40)&lt;&gt;1),"",IF(VLOOKUP(A40,Components!$A$8:$S$107,13,FALSE)="","",VLOOKUP(A40,Components!$A$8:$S$107,13,FALSE)))</f>
        <v/>
      </c>
      <c r="O40" s="15">
        <f>IF(OR(N40="",NOT(ISNUMBER(B40))),"",B40*N40)</f>
        <v/>
      </c>
      <c r="P40" s="1">
        <f>IF(OR(A40="",COUNTIF(Components!$A$8:$A$107,A40)&lt;&gt;1),"",IF(VLOOKUP(A40,Components!$A$8:$S$107,14,FALSE)="","",VLOOKUP(A40,Components!$A$8:$S$107,14,FALSE)))</f>
        <v/>
      </c>
      <c r="Q40" s="14">
        <f>IF(OR(A40="",COUNTIF(Components!$A$8:$A$107,A40)&lt;&gt;1),"",IF(VLOOKUP(A40,Components!$A$8:$S$107,15,FALSE)="","",VLOOKUP(A40,Components!$A$8:$S$107,15,FALSE)))</f>
        <v/>
      </c>
      <c r="R40" s="14">
        <f>IF(OR(A40="",COUNTIF(Components!$A$8:$A$107,A40)&lt;&gt;1),"",IF(VLOOKUP(A40,Components!$A$8:$S$107,16,FALSE)="","",VLOOKUP(A40,Components!$A$8:$S$107,16,FALSE)))</f>
        <v/>
      </c>
      <c r="S40" s="14">
        <f>IF(OR(A40="",COUNTIF(Components!$A$8:$A$107,A40)&lt;&gt;1),"",IF(VLOOKUP(A40,Components!$A$8:$S$107,17,FALSE)="","",VLOOKUP(A40,Components!$A$8:$S$107,17,FALSE)))</f>
        <v/>
      </c>
      <c r="T40" s="15">
        <f>IF(OR(A40="",COUNTIF(Components!$A$8:$A$107,A40)&lt;&gt;1),"",IF(VLOOKUP(A40,Components!$A$8:$S$107,18,FALSE)="","",VLOOKUP(A40,Components!$A$8:$S$107,18,FALSE)))</f>
        <v/>
      </c>
      <c r="U40" s="15">
        <f>IF(OR(T40="",NOT(ISNUMBER(B40))),"",B40*T40)</f>
        <v/>
      </c>
    </row>
    <row r="41" ht="48" customHeight="1">
      <c r="A41" s="4" t="n"/>
      <c r="B41" s="11" t="n"/>
      <c r="C41" s="6">
        <f>IF(A41="","",IF(COUNTIF(Components!$A$8:$A$107,A41)&lt;&gt;1,"Pending",VLOOKUP(A41,Components!$A$8:$F$107,5,FALSE)))</f>
        <v/>
      </c>
      <c r="D41" s="5" t="n"/>
      <c r="E41" s="6">
        <f>IF(A41="","",IF(ISBLANK(D41),C41,IF(AND(ISNUMBER(D41),D41&gt;=0),D41,"Pending")))</f>
        <v/>
      </c>
      <c r="F41" s="6">
        <f>IF(OR(G41="Catalog basis",G41="Override used"),B41*E41,"")</f>
        <v/>
      </c>
      <c r="G41" s="1">
        <f>IF(A41="",IF(OR(NOT(ISBLANK(B41)),NOT(ISBLANK(D41))),"Needs component",""),IF(COUNTIF(Components!$A$8:$A$107,A41)&lt;&gt;1,"Invalid component",IF(ISBLANK(B41),"Needs quantity",IF(NOT(ISNUMBER(B41)),"Invalid quantity",IF(OR(B41&lt;0,B41&lt;&gt;INT(B41)),"Invalid quantity",IF(NOT(ISNUMBER(E41)),"Needs heat input",IF(NOT(ISBLANK(D41)),"Override used","Catalog basis")))))))</f>
        <v/>
      </c>
      <c r="H41" s="1" t="n"/>
      <c r="I41" s="12">
        <f>IF(A41="","",IF(COUNTIF(Components!$A$8:$A$107,A41)&lt;&gt;1,"Select a unique catalog component",VLOOKUP(A41,Components!$A$8:$F$107,6,FALSE)))</f>
        <v/>
      </c>
      <c r="J41" s="1">
        <f>IF(OR(A41="",COUNTIF(Components!$A$8:$A$107,A41)&lt;&gt;1),"",IF(VLOOKUP(A41,Components!$A$8:$S$107,9,FALSE)="","",VLOOKUP(A41,Components!$A$8:$S$107,9,FALSE)))</f>
        <v/>
      </c>
      <c r="K41" s="14">
        <f>IF(OR(A41="",COUNTIF(Components!$A$8:$A$107,A41)&lt;&gt;1),"",IF(VLOOKUP(A41,Components!$A$8:$S$107,10,FALSE)="","",VLOOKUP(A41,Components!$A$8:$S$107,10,FALSE)))</f>
        <v/>
      </c>
      <c r="L41" s="14">
        <f>IF(OR(A41="",COUNTIF(Components!$A$8:$A$107,A41)&lt;&gt;1),"",IF(VLOOKUP(A41,Components!$A$8:$S$107,11,FALSE)="","",VLOOKUP(A41,Components!$A$8:$S$107,11,FALSE)))</f>
        <v/>
      </c>
      <c r="M41" s="14">
        <f>IF(OR(A41="",COUNTIF(Components!$A$8:$A$107,A41)&lt;&gt;1),"",IF(VLOOKUP(A41,Components!$A$8:$S$107,12,FALSE)="","",VLOOKUP(A41,Components!$A$8:$S$107,12,FALSE)))</f>
        <v/>
      </c>
      <c r="N41" s="15">
        <f>IF(OR(A41="",COUNTIF(Components!$A$8:$A$107,A41)&lt;&gt;1),"",IF(VLOOKUP(A41,Components!$A$8:$S$107,13,FALSE)="","",VLOOKUP(A41,Components!$A$8:$S$107,13,FALSE)))</f>
        <v/>
      </c>
      <c r="O41" s="15">
        <f>IF(OR(N41="",NOT(ISNUMBER(B41))),"",B41*N41)</f>
        <v/>
      </c>
      <c r="P41" s="1">
        <f>IF(OR(A41="",COUNTIF(Components!$A$8:$A$107,A41)&lt;&gt;1),"",IF(VLOOKUP(A41,Components!$A$8:$S$107,14,FALSE)="","",VLOOKUP(A41,Components!$A$8:$S$107,14,FALSE)))</f>
        <v/>
      </c>
      <c r="Q41" s="14">
        <f>IF(OR(A41="",COUNTIF(Components!$A$8:$A$107,A41)&lt;&gt;1),"",IF(VLOOKUP(A41,Components!$A$8:$S$107,15,FALSE)="","",VLOOKUP(A41,Components!$A$8:$S$107,15,FALSE)))</f>
        <v/>
      </c>
      <c r="R41" s="14">
        <f>IF(OR(A41="",COUNTIF(Components!$A$8:$A$107,A41)&lt;&gt;1),"",IF(VLOOKUP(A41,Components!$A$8:$S$107,16,FALSE)="","",VLOOKUP(A41,Components!$A$8:$S$107,16,FALSE)))</f>
        <v/>
      </c>
      <c r="S41" s="14">
        <f>IF(OR(A41="",COUNTIF(Components!$A$8:$A$107,A41)&lt;&gt;1),"",IF(VLOOKUP(A41,Components!$A$8:$S$107,17,FALSE)="","",VLOOKUP(A41,Components!$A$8:$S$107,17,FALSE)))</f>
        <v/>
      </c>
      <c r="T41" s="15">
        <f>IF(OR(A41="",COUNTIF(Components!$A$8:$A$107,A41)&lt;&gt;1),"",IF(VLOOKUP(A41,Components!$A$8:$S$107,18,FALSE)="","",VLOOKUP(A41,Components!$A$8:$S$107,18,FALSE)))</f>
        <v/>
      </c>
      <c r="U41" s="15">
        <f>IF(OR(T41="",NOT(ISNUMBER(B41))),"",B41*T41)</f>
        <v/>
      </c>
    </row>
    <row r="42" ht="48" customHeight="1">
      <c r="A42" s="4" t="n"/>
      <c r="B42" s="11" t="n"/>
      <c r="C42" s="6">
        <f>IF(A42="","",IF(COUNTIF(Components!$A$8:$A$107,A42)&lt;&gt;1,"Pending",VLOOKUP(A42,Components!$A$8:$F$107,5,FALSE)))</f>
        <v/>
      </c>
      <c r="D42" s="5" t="n"/>
      <c r="E42" s="6">
        <f>IF(A42="","",IF(ISBLANK(D42),C42,IF(AND(ISNUMBER(D42),D42&gt;=0),D42,"Pending")))</f>
        <v/>
      </c>
      <c r="F42" s="6">
        <f>IF(OR(G42="Catalog basis",G42="Override used"),B42*E42,"")</f>
        <v/>
      </c>
      <c r="G42" s="1">
        <f>IF(A42="",IF(OR(NOT(ISBLANK(B42)),NOT(ISBLANK(D42))),"Needs component",""),IF(COUNTIF(Components!$A$8:$A$107,A42)&lt;&gt;1,"Invalid component",IF(ISBLANK(B42),"Needs quantity",IF(NOT(ISNUMBER(B42)),"Invalid quantity",IF(OR(B42&lt;0,B42&lt;&gt;INT(B42)),"Invalid quantity",IF(NOT(ISNUMBER(E42)),"Needs heat input",IF(NOT(ISBLANK(D42)),"Override used","Catalog basis")))))))</f>
        <v/>
      </c>
      <c r="H42" s="1" t="n"/>
      <c r="I42" s="12">
        <f>IF(A42="","",IF(COUNTIF(Components!$A$8:$A$107,A42)&lt;&gt;1,"Select a unique catalog component",VLOOKUP(A42,Components!$A$8:$F$107,6,FALSE)))</f>
        <v/>
      </c>
      <c r="J42" s="1">
        <f>IF(OR(A42="",COUNTIF(Components!$A$8:$A$107,A42)&lt;&gt;1),"",IF(VLOOKUP(A42,Components!$A$8:$S$107,9,FALSE)="","",VLOOKUP(A42,Components!$A$8:$S$107,9,FALSE)))</f>
        <v/>
      </c>
      <c r="K42" s="14">
        <f>IF(OR(A42="",COUNTIF(Components!$A$8:$A$107,A42)&lt;&gt;1),"",IF(VLOOKUP(A42,Components!$A$8:$S$107,10,FALSE)="","",VLOOKUP(A42,Components!$A$8:$S$107,10,FALSE)))</f>
        <v/>
      </c>
      <c r="L42" s="14">
        <f>IF(OR(A42="",COUNTIF(Components!$A$8:$A$107,A42)&lt;&gt;1),"",IF(VLOOKUP(A42,Components!$A$8:$S$107,11,FALSE)="","",VLOOKUP(A42,Components!$A$8:$S$107,11,FALSE)))</f>
        <v/>
      </c>
      <c r="M42" s="14">
        <f>IF(OR(A42="",COUNTIF(Components!$A$8:$A$107,A42)&lt;&gt;1),"",IF(VLOOKUP(A42,Components!$A$8:$S$107,12,FALSE)="","",VLOOKUP(A42,Components!$A$8:$S$107,12,FALSE)))</f>
        <v/>
      </c>
      <c r="N42" s="15">
        <f>IF(OR(A42="",COUNTIF(Components!$A$8:$A$107,A42)&lt;&gt;1),"",IF(VLOOKUP(A42,Components!$A$8:$S$107,13,FALSE)="","",VLOOKUP(A42,Components!$A$8:$S$107,13,FALSE)))</f>
        <v/>
      </c>
      <c r="O42" s="15">
        <f>IF(OR(N42="",NOT(ISNUMBER(B42))),"",B42*N42)</f>
        <v/>
      </c>
      <c r="P42" s="1">
        <f>IF(OR(A42="",COUNTIF(Components!$A$8:$A$107,A42)&lt;&gt;1),"",IF(VLOOKUP(A42,Components!$A$8:$S$107,14,FALSE)="","",VLOOKUP(A42,Components!$A$8:$S$107,14,FALSE)))</f>
        <v/>
      </c>
      <c r="Q42" s="14">
        <f>IF(OR(A42="",COUNTIF(Components!$A$8:$A$107,A42)&lt;&gt;1),"",IF(VLOOKUP(A42,Components!$A$8:$S$107,15,FALSE)="","",VLOOKUP(A42,Components!$A$8:$S$107,15,FALSE)))</f>
        <v/>
      </c>
      <c r="R42" s="14">
        <f>IF(OR(A42="",COUNTIF(Components!$A$8:$A$107,A42)&lt;&gt;1),"",IF(VLOOKUP(A42,Components!$A$8:$S$107,16,FALSE)="","",VLOOKUP(A42,Components!$A$8:$S$107,16,FALSE)))</f>
        <v/>
      </c>
      <c r="S42" s="14">
        <f>IF(OR(A42="",COUNTIF(Components!$A$8:$A$107,A42)&lt;&gt;1),"",IF(VLOOKUP(A42,Components!$A$8:$S$107,17,FALSE)="","",VLOOKUP(A42,Components!$A$8:$S$107,17,FALSE)))</f>
        <v/>
      </c>
      <c r="T42" s="15">
        <f>IF(OR(A42="",COUNTIF(Components!$A$8:$A$107,A42)&lt;&gt;1),"",IF(VLOOKUP(A42,Components!$A$8:$S$107,18,FALSE)="","",VLOOKUP(A42,Components!$A$8:$S$107,18,FALSE)))</f>
        <v/>
      </c>
      <c r="U42" s="15">
        <f>IF(OR(T42="",NOT(ISNUMBER(B42))),"",B42*T42)</f>
        <v/>
      </c>
    </row>
    <row r="43" ht="48" customHeight="1">
      <c r="A43" s="4" t="n"/>
      <c r="B43" s="11" t="n"/>
      <c r="C43" s="6">
        <f>IF(A43="","",IF(COUNTIF(Components!$A$8:$A$107,A43)&lt;&gt;1,"Pending",VLOOKUP(A43,Components!$A$8:$F$107,5,FALSE)))</f>
        <v/>
      </c>
      <c r="D43" s="5" t="n"/>
      <c r="E43" s="6">
        <f>IF(A43="","",IF(ISBLANK(D43),C43,IF(AND(ISNUMBER(D43),D43&gt;=0),D43,"Pending")))</f>
        <v/>
      </c>
      <c r="F43" s="6">
        <f>IF(OR(G43="Catalog basis",G43="Override used"),B43*E43,"")</f>
        <v/>
      </c>
      <c r="G43" s="1">
        <f>IF(A43="",IF(OR(NOT(ISBLANK(B43)),NOT(ISBLANK(D43))),"Needs component",""),IF(COUNTIF(Components!$A$8:$A$107,A43)&lt;&gt;1,"Invalid component",IF(ISBLANK(B43),"Needs quantity",IF(NOT(ISNUMBER(B43)),"Invalid quantity",IF(OR(B43&lt;0,B43&lt;&gt;INT(B43)),"Invalid quantity",IF(NOT(ISNUMBER(E43)),"Needs heat input",IF(NOT(ISBLANK(D43)),"Override used","Catalog basis")))))))</f>
        <v/>
      </c>
      <c r="H43" s="1" t="n"/>
      <c r="I43" s="12">
        <f>IF(A43="","",IF(COUNTIF(Components!$A$8:$A$107,A43)&lt;&gt;1,"Select a unique catalog component",VLOOKUP(A43,Components!$A$8:$F$107,6,FALSE)))</f>
        <v/>
      </c>
      <c r="J43" s="1">
        <f>IF(OR(A43="",COUNTIF(Components!$A$8:$A$107,A43)&lt;&gt;1),"",IF(VLOOKUP(A43,Components!$A$8:$S$107,9,FALSE)="","",VLOOKUP(A43,Components!$A$8:$S$107,9,FALSE)))</f>
        <v/>
      </c>
      <c r="K43" s="14">
        <f>IF(OR(A43="",COUNTIF(Components!$A$8:$A$107,A43)&lt;&gt;1),"",IF(VLOOKUP(A43,Components!$A$8:$S$107,10,FALSE)="","",VLOOKUP(A43,Components!$A$8:$S$107,10,FALSE)))</f>
        <v/>
      </c>
      <c r="L43" s="14">
        <f>IF(OR(A43="",COUNTIF(Components!$A$8:$A$107,A43)&lt;&gt;1),"",IF(VLOOKUP(A43,Components!$A$8:$S$107,11,FALSE)="","",VLOOKUP(A43,Components!$A$8:$S$107,11,FALSE)))</f>
        <v/>
      </c>
      <c r="M43" s="14">
        <f>IF(OR(A43="",COUNTIF(Components!$A$8:$A$107,A43)&lt;&gt;1),"",IF(VLOOKUP(A43,Components!$A$8:$S$107,12,FALSE)="","",VLOOKUP(A43,Components!$A$8:$S$107,12,FALSE)))</f>
        <v/>
      </c>
      <c r="N43" s="15">
        <f>IF(OR(A43="",COUNTIF(Components!$A$8:$A$107,A43)&lt;&gt;1),"",IF(VLOOKUP(A43,Components!$A$8:$S$107,13,FALSE)="","",VLOOKUP(A43,Components!$A$8:$S$107,13,FALSE)))</f>
        <v/>
      </c>
      <c r="O43" s="15">
        <f>IF(OR(N43="",NOT(ISNUMBER(B43))),"",B43*N43)</f>
        <v/>
      </c>
      <c r="P43" s="1">
        <f>IF(OR(A43="",COUNTIF(Components!$A$8:$A$107,A43)&lt;&gt;1),"",IF(VLOOKUP(A43,Components!$A$8:$S$107,14,FALSE)="","",VLOOKUP(A43,Components!$A$8:$S$107,14,FALSE)))</f>
        <v/>
      </c>
      <c r="Q43" s="14">
        <f>IF(OR(A43="",COUNTIF(Components!$A$8:$A$107,A43)&lt;&gt;1),"",IF(VLOOKUP(A43,Components!$A$8:$S$107,15,FALSE)="","",VLOOKUP(A43,Components!$A$8:$S$107,15,FALSE)))</f>
        <v/>
      </c>
      <c r="R43" s="14">
        <f>IF(OR(A43="",COUNTIF(Components!$A$8:$A$107,A43)&lt;&gt;1),"",IF(VLOOKUP(A43,Components!$A$8:$S$107,16,FALSE)="","",VLOOKUP(A43,Components!$A$8:$S$107,16,FALSE)))</f>
        <v/>
      </c>
      <c r="S43" s="14">
        <f>IF(OR(A43="",COUNTIF(Components!$A$8:$A$107,A43)&lt;&gt;1),"",IF(VLOOKUP(A43,Components!$A$8:$S$107,17,FALSE)="","",VLOOKUP(A43,Components!$A$8:$S$107,17,FALSE)))</f>
        <v/>
      </c>
      <c r="T43" s="15">
        <f>IF(OR(A43="",COUNTIF(Components!$A$8:$A$107,A43)&lt;&gt;1),"",IF(VLOOKUP(A43,Components!$A$8:$S$107,18,FALSE)="","",VLOOKUP(A43,Components!$A$8:$S$107,18,FALSE)))</f>
        <v/>
      </c>
      <c r="U43" s="15">
        <f>IF(OR(T43="",NOT(ISNUMBER(B43))),"",B43*T43)</f>
        <v/>
      </c>
    </row>
    <row r="44" ht="48" customHeight="1">
      <c r="A44" s="4" t="n"/>
      <c r="B44" s="11" t="n"/>
      <c r="C44" s="6">
        <f>IF(A44="","",IF(COUNTIF(Components!$A$8:$A$107,A44)&lt;&gt;1,"Pending",VLOOKUP(A44,Components!$A$8:$F$107,5,FALSE)))</f>
        <v/>
      </c>
      <c r="D44" s="5" t="n"/>
      <c r="E44" s="6">
        <f>IF(A44="","",IF(ISBLANK(D44),C44,IF(AND(ISNUMBER(D44),D44&gt;=0),D44,"Pending")))</f>
        <v/>
      </c>
      <c r="F44" s="6">
        <f>IF(OR(G44="Catalog basis",G44="Override used"),B44*E44,"")</f>
        <v/>
      </c>
      <c r="G44" s="1">
        <f>IF(A44="",IF(OR(NOT(ISBLANK(B44)),NOT(ISBLANK(D44))),"Needs component",""),IF(COUNTIF(Components!$A$8:$A$107,A44)&lt;&gt;1,"Invalid component",IF(ISBLANK(B44),"Needs quantity",IF(NOT(ISNUMBER(B44)),"Invalid quantity",IF(OR(B44&lt;0,B44&lt;&gt;INT(B44)),"Invalid quantity",IF(NOT(ISNUMBER(E44)),"Needs heat input",IF(NOT(ISBLANK(D44)),"Override used","Catalog basis")))))))</f>
        <v/>
      </c>
      <c r="H44" s="1" t="n"/>
      <c r="I44" s="12">
        <f>IF(A44="","",IF(COUNTIF(Components!$A$8:$A$107,A44)&lt;&gt;1,"Select a unique catalog component",VLOOKUP(A44,Components!$A$8:$F$107,6,FALSE)))</f>
        <v/>
      </c>
      <c r="J44" s="1">
        <f>IF(OR(A44="",COUNTIF(Components!$A$8:$A$107,A44)&lt;&gt;1),"",IF(VLOOKUP(A44,Components!$A$8:$S$107,9,FALSE)="","",VLOOKUP(A44,Components!$A$8:$S$107,9,FALSE)))</f>
        <v/>
      </c>
      <c r="K44" s="14">
        <f>IF(OR(A44="",COUNTIF(Components!$A$8:$A$107,A44)&lt;&gt;1),"",IF(VLOOKUP(A44,Components!$A$8:$S$107,10,FALSE)="","",VLOOKUP(A44,Components!$A$8:$S$107,10,FALSE)))</f>
        <v/>
      </c>
      <c r="L44" s="14">
        <f>IF(OR(A44="",COUNTIF(Components!$A$8:$A$107,A44)&lt;&gt;1),"",IF(VLOOKUP(A44,Components!$A$8:$S$107,11,FALSE)="","",VLOOKUP(A44,Components!$A$8:$S$107,11,FALSE)))</f>
        <v/>
      </c>
      <c r="M44" s="14">
        <f>IF(OR(A44="",COUNTIF(Components!$A$8:$A$107,A44)&lt;&gt;1),"",IF(VLOOKUP(A44,Components!$A$8:$S$107,12,FALSE)="","",VLOOKUP(A44,Components!$A$8:$S$107,12,FALSE)))</f>
        <v/>
      </c>
      <c r="N44" s="15">
        <f>IF(OR(A44="",COUNTIF(Components!$A$8:$A$107,A44)&lt;&gt;1),"",IF(VLOOKUP(A44,Components!$A$8:$S$107,13,FALSE)="","",VLOOKUP(A44,Components!$A$8:$S$107,13,FALSE)))</f>
        <v/>
      </c>
      <c r="O44" s="15">
        <f>IF(OR(N44="",NOT(ISNUMBER(B44))),"",B44*N44)</f>
        <v/>
      </c>
      <c r="P44" s="1">
        <f>IF(OR(A44="",COUNTIF(Components!$A$8:$A$107,A44)&lt;&gt;1),"",IF(VLOOKUP(A44,Components!$A$8:$S$107,14,FALSE)="","",VLOOKUP(A44,Components!$A$8:$S$107,14,FALSE)))</f>
        <v/>
      </c>
      <c r="Q44" s="14">
        <f>IF(OR(A44="",COUNTIF(Components!$A$8:$A$107,A44)&lt;&gt;1),"",IF(VLOOKUP(A44,Components!$A$8:$S$107,15,FALSE)="","",VLOOKUP(A44,Components!$A$8:$S$107,15,FALSE)))</f>
        <v/>
      </c>
      <c r="R44" s="14">
        <f>IF(OR(A44="",COUNTIF(Components!$A$8:$A$107,A44)&lt;&gt;1),"",IF(VLOOKUP(A44,Components!$A$8:$S$107,16,FALSE)="","",VLOOKUP(A44,Components!$A$8:$S$107,16,FALSE)))</f>
        <v/>
      </c>
      <c r="S44" s="14">
        <f>IF(OR(A44="",COUNTIF(Components!$A$8:$A$107,A44)&lt;&gt;1),"",IF(VLOOKUP(A44,Components!$A$8:$S$107,17,FALSE)="","",VLOOKUP(A44,Components!$A$8:$S$107,17,FALSE)))</f>
        <v/>
      </c>
      <c r="T44" s="15">
        <f>IF(OR(A44="",COUNTIF(Components!$A$8:$A$107,A44)&lt;&gt;1),"",IF(VLOOKUP(A44,Components!$A$8:$S$107,18,FALSE)="","",VLOOKUP(A44,Components!$A$8:$S$107,18,FALSE)))</f>
        <v/>
      </c>
      <c r="U44" s="15">
        <f>IF(OR(T44="",NOT(ISNUMBER(B44))),"",B44*T44)</f>
        <v/>
      </c>
    </row>
    <row r="45" ht="48" customHeight="1">
      <c r="A45" s="4" t="n"/>
      <c r="B45" s="11" t="n"/>
      <c r="C45" s="6">
        <f>IF(A45="","",IF(COUNTIF(Components!$A$8:$A$107,A45)&lt;&gt;1,"Pending",VLOOKUP(A45,Components!$A$8:$F$107,5,FALSE)))</f>
        <v/>
      </c>
      <c r="D45" s="5" t="n"/>
      <c r="E45" s="6">
        <f>IF(A45="","",IF(ISBLANK(D45),C45,IF(AND(ISNUMBER(D45),D45&gt;=0),D45,"Pending")))</f>
        <v/>
      </c>
      <c r="F45" s="6">
        <f>IF(OR(G45="Catalog basis",G45="Override used"),B45*E45,"")</f>
        <v/>
      </c>
      <c r="G45" s="1">
        <f>IF(A45="",IF(OR(NOT(ISBLANK(B45)),NOT(ISBLANK(D45))),"Needs component",""),IF(COUNTIF(Components!$A$8:$A$107,A45)&lt;&gt;1,"Invalid component",IF(ISBLANK(B45),"Needs quantity",IF(NOT(ISNUMBER(B45)),"Invalid quantity",IF(OR(B45&lt;0,B45&lt;&gt;INT(B45)),"Invalid quantity",IF(NOT(ISNUMBER(E45)),"Needs heat input",IF(NOT(ISBLANK(D45)),"Override used","Catalog basis")))))))</f>
        <v/>
      </c>
      <c r="H45" s="1" t="n"/>
      <c r="I45" s="12">
        <f>IF(A45="","",IF(COUNTIF(Components!$A$8:$A$107,A45)&lt;&gt;1,"Select a unique catalog component",VLOOKUP(A45,Components!$A$8:$F$107,6,FALSE)))</f>
        <v/>
      </c>
      <c r="J45" s="1">
        <f>IF(OR(A45="",COUNTIF(Components!$A$8:$A$107,A45)&lt;&gt;1),"",IF(VLOOKUP(A45,Components!$A$8:$S$107,9,FALSE)="","",VLOOKUP(A45,Components!$A$8:$S$107,9,FALSE)))</f>
        <v/>
      </c>
      <c r="K45" s="14">
        <f>IF(OR(A45="",COUNTIF(Components!$A$8:$A$107,A45)&lt;&gt;1),"",IF(VLOOKUP(A45,Components!$A$8:$S$107,10,FALSE)="","",VLOOKUP(A45,Components!$A$8:$S$107,10,FALSE)))</f>
        <v/>
      </c>
      <c r="L45" s="14">
        <f>IF(OR(A45="",COUNTIF(Components!$A$8:$A$107,A45)&lt;&gt;1),"",IF(VLOOKUP(A45,Components!$A$8:$S$107,11,FALSE)="","",VLOOKUP(A45,Components!$A$8:$S$107,11,FALSE)))</f>
        <v/>
      </c>
      <c r="M45" s="14">
        <f>IF(OR(A45="",COUNTIF(Components!$A$8:$A$107,A45)&lt;&gt;1),"",IF(VLOOKUP(A45,Components!$A$8:$S$107,12,FALSE)="","",VLOOKUP(A45,Components!$A$8:$S$107,12,FALSE)))</f>
        <v/>
      </c>
      <c r="N45" s="15">
        <f>IF(OR(A45="",COUNTIF(Components!$A$8:$A$107,A45)&lt;&gt;1),"",IF(VLOOKUP(A45,Components!$A$8:$S$107,13,FALSE)="","",VLOOKUP(A45,Components!$A$8:$S$107,13,FALSE)))</f>
        <v/>
      </c>
      <c r="O45" s="15">
        <f>IF(OR(N45="",NOT(ISNUMBER(B45))),"",B45*N45)</f>
        <v/>
      </c>
      <c r="P45" s="1">
        <f>IF(OR(A45="",COUNTIF(Components!$A$8:$A$107,A45)&lt;&gt;1),"",IF(VLOOKUP(A45,Components!$A$8:$S$107,14,FALSE)="","",VLOOKUP(A45,Components!$A$8:$S$107,14,FALSE)))</f>
        <v/>
      </c>
      <c r="Q45" s="14">
        <f>IF(OR(A45="",COUNTIF(Components!$A$8:$A$107,A45)&lt;&gt;1),"",IF(VLOOKUP(A45,Components!$A$8:$S$107,15,FALSE)="","",VLOOKUP(A45,Components!$A$8:$S$107,15,FALSE)))</f>
        <v/>
      </c>
      <c r="R45" s="14">
        <f>IF(OR(A45="",COUNTIF(Components!$A$8:$A$107,A45)&lt;&gt;1),"",IF(VLOOKUP(A45,Components!$A$8:$S$107,16,FALSE)="","",VLOOKUP(A45,Components!$A$8:$S$107,16,FALSE)))</f>
        <v/>
      </c>
      <c r="S45" s="14">
        <f>IF(OR(A45="",COUNTIF(Components!$A$8:$A$107,A45)&lt;&gt;1),"",IF(VLOOKUP(A45,Components!$A$8:$S$107,17,FALSE)="","",VLOOKUP(A45,Components!$A$8:$S$107,17,FALSE)))</f>
        <v/>
      </c>
      <c r="T45" s="15">
        <f>IF(OR(A45="",COUNTIF(Components!$A$8:$A$107,A45)&lt;&gt;1),"",IF(VLOOKUP(A45,Components!$A$8:$S$107,18,FALSE)="","",VLOOKUP(A45,Components!$A$8:$S$107,18,FALSE)))</f>
        <v/>
      </c>
      <c r="U45" s="15">
        <f>IF(OR(T45="",NOT(ISNUMBER(B45))),"",B45*T45)</f>
        <v/>
      </c>
    </row>
    <row r="46" ht="48" customHeight="1">
      <c r="A46" s="4" t="n"/>
      <c r="B46" s="11" t="n"/>
      <c r="C46" s="6">
        <f>IF(A46="","",IF(COUNTIF(Components!$A$8:$A$107,A46)&lt;&gt;1,"Pending",VLOOKUP(A46,Components!$A$8:$F$107,5,FALSE)))</f>
        <v/>
      </c>
      <c r="D46" s="5" t="n"/>
      <c r="E46" s="6">
        <f>IF(A46="","",IF(ISBLANK(D46),C46,IF(AND(ISNUMBER(D46),D46&gt;=0),D46,"Pending")))</f>
        <v/>
      </c>
      <c r="F46" s="6">
        <f>IF(OR(G46="Catalog basis",G46="Override used"),B46*E46,"")</f>
        <v/>
      </c>
      <c r="G46" s="1">
        <f>IF(A46="",IF(OR(NOT(ISBLANK(B46)),NOT(ISBLANK(D46))),"Needs component",""),IF(COUNTIF(Components!$A$8:$A$107,A46)&lt;&gt;1,"Invalid component",IF(ISBLANK(B46),"Needs quantity",IF(NOT(ISNUMBER(B46)),"Invalid quantity",IF(OR(B46&lt;0,B46&lt;&gt;INT(B46)),"Invalid quantity",IF(NOT(ISNUMBER(E46)),"Needs heat input",IF(NOT(ISBLANK(D46)),"Override used","Catalog basis")))))))</f>
        <v/>
      </c>
      <c r="H46" s="1" t="n"/>
      <c r="I46" s="12">
        <f>IF(A46="","",IF(COUNTIF(Components!$A$8:$A$107,A46)&lt;&gt;1,"Select a unique catalog component",VLOOKUP(A46,Components!$A$8:$F$107,6,FALSE)))</f>
        <v/>
      </c>
      <c r="J46" s="1">
        <f>IF(OR(A46="",COUNTIF(Components!$A$8:$A$107,A46)&lt;&gt;1),"",IF(VLOOKUP(A46,Components!$A$8:$S$107,9,FALSE)="","",VLOOKUP(A46,Components!$A$8:$S$107,9,FALSE)))</f>
        <v/>
      </c>
      <c r="K46" s="14">
        <f>IF(OR(A46="",COUNTIF(Components!$A$8:$A$107,A46)&lt;&gt;1),"",IF(VLOOKUP(A46,Components!$A$8:$S$107,10,FALSE)="","",VLOOKUP(A46,Components!$A$8:$S$107,10,FALSE)))</f>
        <v/>
      </c>
      <c r="L46" s="14">
        <f>IF(OR(A46="",COUNTIF(Components!$A$8:$A$107,A46)&lt;&gt;1),"",IF(VLOOKUP(A46,Components!$A$8:$S$107,11,FALSE)="","",VLOOKUP(A46,Components!$A$8:$S$107,11,FALSE)))</f>
        <v/>
      </c>
      <c r="M46" s="14">
        <f>IF(OR(A46="",COUNTIF(Components!$A$8:$A$107,A46)&lt;&gt;1),"",IF(VLOOKUP(A46,Components!$A$8:$S$107,12,FALSE)="","",VLOOKUP(A46,Components!$A$8:$S$107,12,FALSE)))</f>
        <v/>
      </c>
      <c r="N46" s="15">
        <f>IF(OR(A46="",COUNTIF(Components!$A$8:$A$107,A46)&lt;&gt;1),"",IF(VLOOKUP(A46,Components!$A$8:$S$107,13,FALSE)="","",VLOOKUP(A46,Components!$A$8:$S$107,13,FALSE)))</f>
        <v/>
      </c>
      <c r="O46" s="15">
        <f>IF(OR(N46="",NOT(ISNUMBER(B46))),"",B46*N46)</f>
        <v/>
      </c>
      <c r="P46" s="1">
        <f>IF(OR(A46="",COUNTIF(Components!$A$8:$A$107,A46)&lt;&gt;1),"",IF(VLOOKUP(A46,Components!$A$8:$S$107,14,FALSE)="","",VLOOKUP(A46,Components!$A$8:$S$107,14,FALSE)))</f>
        <v/>
      </c>
      <c r="Q46" s="14">
        <f>IF(OR(A46="",COUNTIF(Components!$A$8:$A$107,A46)&lt;&gt;1),"",IF(VLOOKUP(A46,Components!$A$8:$S$107,15,FALSE)="","",VLOOKUP(A46,Components!$A$8:$S$107,15,FALSE)))</f>
        <v/>
      </c>
      <c r="R46" s="14">
        <f>IF(OR(A46="",COUNTIF(Components!$A$8:$A$107,A46)&lt;&gt;1),"",IF(VLOOKUP(A46,Components!$A$8:$S$107,16,FALSE)="","",VLOOKUP(A46,Components!$A$8:$S$107,16,FALSE)))</f>
        <v/>
      </c>
      <c r="S46" s="14">
        <f>IF(OR(A46="",COUNTIF(Components!$A$8:$A$107,A46)&lt;&gt;1),"",IF(VLOOKUP(A46,Components!$A$8:$S$107,17,FALSE)="","",VLOOKUP(A46,Components!$A$8:$S$107,17,FALSE)))</f>
        <v/>
      </c>
      <c r="T46" s="15">
        <f>IF(OR(A46="",COUNTIF(Components!$A$8:$A$107,A46)&lt;&gt;1),"",IF(VLOOKUP(A46,Components!$A$8:$S$107,18,FALSE)="","",VLOOKUP(A46,Components!$A$8:$S$107,18,FALSE)))</f>
        <v/>
      </c>
      <c r="U46" s="15">
        <f>IF(OR(T46="",NOT(ISNUMBER(B46))),"",B46*T46)</f>
        <v/>
      </c>
    </row>
    <row r="47" ht="48" customHeight="1">
      <c r="A47" s="4" t="n"/>
      <c r="B47" s="11" t="n"/>
      <c r="C47" s="6">
        <f>IF(A47="","",IF(COUNTIF(Components!$A$8:$A$107,A47)&lt;&gt;1,"Pending",VLOOKUP(A47,Components!$A$8:$F$107,5,FALSE)))</f>
        <v/>
      </c>
      <c r="D47" s="5" t="n"/>
      <c r="E47" s="6">
        <f>IF(A47="","",IF(ISBLANK(D47),C47,IF(AND(ISNUMBER(D47),D47&gt;=0),D47,"Pending")))</f>
        <v/>
      </c>
      <c r="F47" s="6">
        <f>IF(OR(G47="Catalog basis",G47="Override used"),B47*E47,"")</f>
        <v/>
      </c>
      <c r="G47" s="1">
        <f>IF(A47="",IF(OR(NOT(ISBLANK(B47)),NOT(ISBLANK(D47))),"Needs component",""),IF(COUNTIF(Components!$A$8:$A$107,A47)&lt;&gt;1,"Invalid component",IF(ISBLANK(B47),"Needs quantity",IF(NOT(ISNUMBER(B47)),"Invalid quantity",IF(OR(B47&lt;0,B47&lt;&gt;INT(B47)),"Invalid quantity",IF(NOT(ISNUMBER(E47)),"Needs heat input",IF(NOT(ISBLANK(D47)),"Override used","Catalog basis")))))))</f>
        <v/>
      </c>
      <c r="H47" s="1" t="n"/>
      <c r="I47" s="12">
        <f>IF(A47="","",IF(COUNTIF(Components!$A$8:$A$107,A47)&lt;&gt;1,"Select a unique catalog component",VLOOKUP(A47,Components!$A$8:$F$107,6,FALSE)))</f>
        <v/>
      </c>
      <c r="J47" s="1">
        <f>IF(OR(A47="",COUNTIF(Components!$A$8:$A$107,A47)&lt;&gt;1),"",IF(VLOOKUP(A47,Components!$A$8:$S$107,9,FALSE)="","",VLOOKUP(A47,Components!$A$8:$S$107,9,FALSE)))</f>
        <v/>
      </c>
      <c r="K47" s="14">
        <f>IF(OR(A47="",COUNTIF(Components!$A$8:$A$107,A47)&lt;&gt;1),"",IF(VLOOKUP(A47,Components!$A$8:$S$107,10,FALSE)="","",VLOOKUP(A47,Components!$A$8:$S$107,10,FALSE)))</f>
        <v/>
      </c>
      <c r="L47" s="14">
        <f>IF(OR(A47="",COUNTIF(Components!$A$8:$A$107,A47)&lt;&gt;1),"",IF(VLOOKUP(A47,Components!$A$8:$S$107,11,FALSE)="","",VLOOKUP(A47,Components!$A$8:$S$107,11,FALSE)))</f>
        <v/>
      </c>
      <c r="M47" s="14">
        <f>IF(OR(A47="",COUNTIF(Components!$A$8:$A$107,A47)&lt;&gt;1),"",IF(VLOOKUP(A47,Components!$A$8:$S$107,12,FALSE)="","",VLOOKUP(A47,Components!$A$8:$S$107,12,FALSE)))</f>
        <v/>
      </c>
      <c r="N47" s="15">
        <f>IF(OR(A47="",COUNTIF(Components!$A$8:$A$107,A47)&lt;&gt;1),"",IF(VLOOKUP(A47,Components!$A$8:$S$107,13,FALSE)="","",VLOOKUP(A47,Components!$A$8:$S$107,13,FALSE)))</f>
        <v/>
      </c>
      <c r="O47" s="15">
        <f>IF(OR(N47="",NOT(ISNUMBER(B47))),"",B47*N47)</f>
        <v/>
      </c>
      <c r="P47" s="1">
        <f>IF(OR(A47="",COUNTIF(Components!$A$8:$A$107,A47)&lt;&gt;1),"",IF(VLOOKUP(A47,Components!$A$8:$S$107,14,FALSE)="","",VLOOKUP(A47,Components!$A$8:$S$107,14,FALSE)))</f>
        <v/>
      </c>
      <c r="Q47" s="14">
        <f>IF(OR(A47="",COUNTIF(Components!$A$8:$A$107,A47)&lt;&gt;1),"",IF(VLOOKUP(A47,Components!$A$8:$S$107,15,FALSE)="","",VLOOKUP(A47,Components!$A$8:$S$107,15,FALSE)))</f>
        <v/>
      </c>
      <c r="R47" s="14">
        <f>IF(OR(A47="",COUNTIF(Components!$A$8:$A$107,A47)&lt;&gt;1),"",IF(VLOOKUP(A47,Components!$A$8:$S$107,16,FALSE)="","",VLOOKUP(A47,Components!$A$8:$S$107,16,FALSE)))</f>
        <v/>
      </c>
      <c r="S47" s="14">
        <f>IF(OR(A47="",COUNTIF(Components!$A$8:$A$107,A47)&lt;&gt;1),"",IF(VLOOKUP(A47,Components!$A$8:$S$107,17,FALSE)="","",VLOOKUP(A47,Components!$A$8:$S$107,17,FALSE)))</f>
        <v/>
      </c>
      <c r="T47" s="15">
        <f>IF(OR(A47="",COUNTIF(Components!$A$8:$A$107,A47)&lt;&gt;1),"",IF(VLOOKUP(A47,Components!$A$8:$S$107,18,FALSE)="","",VLOOKUP(A47,Components!$A$8:$S$107,18,FALSE)))</f>
        <v/>
      </c>
      <c r="U47" s="15">
        <f>IF(OR(T47="",NOT(ISNUMBER(B47))),"",B47*T47)</f>
        <v/>
      </c>
    </row>
    <row r="48" ht="48" customHeight="1">
      <c r="A48" s="4" t="n"/>
      <c r="B48" s="11" t="n"/>
      <c r="C48" s="6">
        <f>IF(A48="","",IF(COUNTIF(Components!$A$8:$A$107,A48)&lt;&gt;1,"Pending",VLOOKUP(A48,Components!$A$8:$F$107,5,FALSE)))</f>
        <v/>
      </c>
      <c r="D48" s="5" t="n"/>
      <c r="E48" s="6">
        <f>IF(A48="","",IF(ISBLANK(D48),C48,IF(AND(ISNUMBER(D48),D48&gt;=0),D48,"Pending")))</f>
        <v/>
      </c>
      <c r="F48" s="6">
        <f>IF(OR(G48="Catalog basis",G48="Override used"),B48*E48,"")</f>
        <v/>
      </c>
      <c r="G48" s="1">
        <f>IF(A48="",IF(OR(NOT(ISBLANK(B48)),NOT(ISBLANK(D48))),"Needs component",""),IF(COUNTIF(Components!$A$8:$A$107,A48)&lt;&gt;1,"Invalid component",IF(ISBLANK(B48),"Needs quantity",IF(NOT(ISNUMBER(B48)),"Invalid quantity",IF(OR(B48&lt;0,B48&lt;&gt;INT(B48)),"Invalid quantity",IF(NOT(ISNUMBER(E48)),"Needs heat input",IF(NOT(ISBLANK(D48)),"Override used","Catalog basis")))))))</f>
        <v/>
      </c>
      <c r="H48" s="1" t="n"/>
      <c r="I48" s="12">
        <f>IF(A48="","",IF(COUNTIF(Components!$A$8:$A$107,A48)&lt;&gt;1,"Select a unique catalog component",VLOOKUP(A48,Components!$A$8:$F$107,6,FALSE)))</f>
        <v/>
      </c>
      <c r="J48" s="1">
        <f>IF(OR(A48="",COUNTIF(Components!$A$8:$A$107,A48)&lt;&gt;1),"",IF(VLOOKUP(A48,Components!$A$8:$S$107,9,FALSE)="","",VLOOKUP(A48,Components!$A$8:$S$107,9,FALSE)))</f>
        <v/>
      </c>
      <c r="K48" s="14">
        <f>IF(OR(A48="",COUNTIF(Components!$A$8:$A$107,A48)&lt;&gt;1),"",IF(VLOOKUP(A48,Components!$A$8:$S$107,10,FALSE)="","",VLOOKUP(A48,Components!$A$8:$S$107,10,FALSE)))</f>
        <v/>
      </c>
      <c r="L48" s="14">
        <f>IF(OR(A48="",COUNTIF(Components!$A$8:$A$107,A48)&lt;&gt;1),"",IF(VLOOKUP(A48,Components!$A$8:$S$107,11,FALSE)="","",VLOOKUP(A48,Components!$A$8:$S$107,11,FALSE)))</f>
        <v/>
      </c>
      <c r="M48" s="14">
        <f>IF(OR(A48="",COUNTIF(Components!$A$8:$A$107,A48)&lt;&gt;1),"",IF(VLOOKUP(A48,Components!$A$8:$S$107,12,FALSE)="","",VLOOKUP(A48,Components!$A$8:$S$107,12,FALSE)))</f>
        <v/>
      </c>
      <c r="N48" s="15">
        <f>IF(OR(A48="",COUNTIF(Components!$A$8:$A$107,A48)&lt;&gt;1),"",IF(VLOOKUP(A48,Components!$A$8:$S$107,13,FALSE)="","",VLOOKUP(A48,Components!$A$8:$S$107,13,FALSE)))</f>
        <v/>
      </c>
      <c r="O48" s="15">
        <f>IF(OR(N48="",NOT(ISNUMBER(B48))),"",B48*N48)</f>
        <v/>
      </c>
      <c r="P48" s="1">
        <f>IF(OR(A48="",COUNTIF(Components!$A$8:$A$107,A48)&lt;&gt;1),"",IF(VLOOKUP(A48,Components!$A$8:$S$107,14,FALSE)="","",VLOOKUP(A48,Components!$A$8:$S$107,14,FALSE)))</f>
        <v/>
      </c>
      <c r="Q48" s="14">
        <f>IF(OR(A48="",COUNTIF(Components!$A$8:$A$107,A48)&lt;&gt;1),"",IF(VLOOKUP(A48,Components!$A$8:$S$107,15,FALSE)="","",VLOOKUP(A48,Components!$A$8:$S$107,15,FALSE)))</f>
        <v/>
      </c>
      <c r="R48" s="14">
        <f>IF(OR(A48="",COUNTIF(Components!$A$8:$A$107,A48)&lt;&gt;1),"",IF(VLOOKUP(A48,Components!$A$8:$S$107,16,FALSE)="","",VLOOKUP(A48,Components!$A$8:$S$107,16,FALSE)))</f>
        <v/>
      </c>
      <c r="S48" s="14">
        <f>IF(OR(A48="",COUNTIF(Components!$A$8:$A$107,A48)&lt;&gt;1),"",IF(VLOOKUP(A48,Components!$A$8:$S$107,17,FALSE)="","",VLOOKUP(A48,Components!$A$8:$S$107,17,FALSE)))</f>
        <v/>
      </c>
      <c r="T48" s="15">
        <f>IF(OR(A48="",COUNTIF(Components!$A$8:$A$107,A48)&lt;&gt;1),"",IF(VLOOKUP(A48,Components!$A$8:$S$107,18,FALSE)="","",VLOOKUP(A48,Components!$A$8:$S$107,18,FALSE)))</f>
        <v/>
      </c>
      <c r="U48" s="15">
        <f>IF(OR(T48="",NOT(ISNUMBER(B48))),"",B48*T48)</f>
        <v/>
      </c>
    </row>
    <row r="49" ht="48" customHeight="1">
      <c r="A49" s="4" t="n"/>
      <c r="B49" s="11" t="n"/>
      <c r="C49" s="6">
        <f>IF(A49="","",IF(COUNTIF(Components!$A$8:$A$107,A49)&lt;&gt;1,"Pending",VLOOKUP(A49,Components!$A$8:$F$107,5,FALSE)))</f>
        <v/>
      </c>
      <c r="D49" s="5" t="n"/>
      <c r="E49" s="6">
        <f>IF(A49="","",IF(ISBLANK(D49),C49,IF(AND(ISNUMBER(D49),D49&gt;=0),D49,"Pending")))</f>
        <v/>
      </c>
      <c r="F49" s="6">
        <f>IF(OR(G49="Catalog basis",G49="Override used"),B49*E49,"")</f>
        <v/>
      </c>
      <c r="G49" s="1">
        <f>IF(A49="",IF(OR(NOT(ISBLANK(B49)),NOT(ISBLANK(D49))),"Needs component",""),IF(COUNTIF(Components!$A$8:$A$107,A49)&lt;&gt;1,"Invalid component",IF(ISBLANK(B49),"Needs quantity",IF(NOT(ISNUMBER(B49)),"Invalid quantity",IF(OR(B49&lt;0,B49&lt;&gt;INT(B49)),"Invalid quantity",IF(NOT(ISNUMBER(E49)),"Needs heat input",IF(NOT(ISBLANK(D49)),"Override used","Catalog basis")))))))</f>
        <v/>
      </c>
      <c r="H49" s="1" t="n"/>
      <c r="I49" s="12">
        <f>IF(A49="","",IF(COUNTIF(Components!$A$8:$A$107,A49)&lt;&gt;1,"Select a unique catalog component",VLOOKUP(A49,Components!$A$8:$F$107,6,FALSE)))</f>
        <v/>
      </c>
      <c r="J49" s="1">
        <f>IF(OR(A49="",COUNTIF(Components!$A$8:$A$107,A49)&lt;&gt;1),"",IF(VLOOKUP(A49,Components!$A$8:$S$107,9,FALSE)="","",VLOOKUP(A49,Components!$A$8:$S$107,9,FALSE)))</f>
        <v/>
      </c>
      <c r="K49" s="14">
        <f>IF(OR(A49="",COUNTIF(Components!$A$8:$A$107,A49)&lt;&gt;1),"",IF(VLOOKUP(A49,Components!$A$8:$S$107,10,FALSE)="","",VLOOKUP(A49,Components!$A$8:$S$107,10,FALSE)))</f>
        <v/>
      </c>
      <c r="L49" s="14">
        <f>IF(OR(A49="",COUNTIF(Components!$A$8:$A$107,A49)&lt;&gt;1),"",IF(VLOOKUP(A49,Components!$A$8:$S$107,11,FALSE)="","",VLOOKUP(A49,Components!$A$8:$S$107,11,FALSE)))</f>
        <v/>
      </c>
      <c r="M49" s="14">
        <f>IF(OR(A49="",COUNTIF(Components!$A$8:$A$107,A49)&lt;&gt;1),"",IF(VLOOKUP(A49,Components!$A$8:$S$107,12,FALSE)="","",VLOOKUP(A49,Components!$A$8:$S$107,12,FALSE)))</f>
        <v/>
      </c>
      <c r="N49" s="15">
        <f>IF(OR(A49="",COUNTIF(Components!$A$8:$A$107,A49)&lt;&gt;1),"",IF(VLOOKUP(A49,Components!$A$8:$S$107,13,FALSE)="","",VLOOKUP(A49,Components!$A$8:$S$107,13,FALSE)))</f>
        <v/>
      </c>
      <c r="O49" s="15">
        <f>IF(OR(N49="",NOT(ISNUMBER(B49))),"",B49*N49)</f>
        <v/>
      </c>
      <c r="P49" s="1">
        <f>IF(OR(A49="",COUNTIF(Components!$A$8:$A$107,A49)&lt;&gt;1),"",IF(VLOOKUP(A49,Components!$A$8:$S$107,14,FALSE)="","",VLOOKUP(A49,Components!$A$8:$S$107,14,FALSE)))</f>
        <v/>
      </c>
      <c r="Q49" s="14">
        <f>IF(OR(A49="",COUNTIF(Components!$A$8:$A$107,A49)&lt;&gt;1),"",IF(VLOOKUP(A49,Components!$A$8:$S$107,15,FALSE)="","",VLOOKUP(A49,Components!$A$8:$S$107,15,FALSE)))</f>
        <v/>
      </c>
      <c r="R49" s="14">
        <f>IF(OR(A49="",COUNTIF(Components!$A$8:$A$107,A49)&lt;&gt;1),"",IF(VLOOKUP(A49,Components!$A$8:$S$107,16,FALSE)="","",VLOOKUP(A49,Components!$A$8:$S$107,16,FALSE)))</f>
        <v/>
      </c>
      <c r="S49" s="14">
        <f>IF(OR(A49="",COUNTIF(Components!$A$8:$A$107,A49)&lt;&gt;1),"",IF(VLOOKUP(A49,Components!$A$8:$S$107,17,FALSE)="","",VLOOKUP(A49,Components!$A$8:$S$107,17,FALSE)))</f>
        <v/>
      </c>
      <c r="T49" s="15">
        <f>IF(OR(A49="",COUNTIF(Components!$A$8:$A$107,A49)&lt;&gt;1),"",IF(VLOOKUP(A49,Components!$A$8:$S$107,18,FALSE)="","",VLOOKUP(A49,Components!$A$8:$S$107,18,FALSE)))</f>
        <v/>
      </c>
      <c r="U49" s="15">
        <f>IF(OR(T49="",NOT(ISNUMBER(B49))),"",B49*T49)</f>
        <v/>
      </c>
    </row>
    <row r="50" ht="48" customHeight="1">
      <c r="A50" s="4" t="n"/>
      <c r="B50" s="11" t="n"/>
      <c r="C50" s="6">
        <f>IF(A50="","",IF(COUNTIF(Components!$A$8:$A$107,A50)&lt;&gt;1,"Pending",VLOOKUP(A50,Components!$A$8:$F$107,5,FALSE)))</f>
        <v/>
      </c>
      <c r="D50" s="5" t="n"/>
      <c r="E50" s="6">
        <f>IF(A50="","",IF(ISBLANK(D50),C50,IF(AND(ISNUMBER(D50),D50&gt;=0),D50,"Pending")))</f>
        <v/>
      </c>
      <c r="F50" s="6">
        <f>IF(OR(G50="Catalog basis",G50="Override used"),B50*E50,"")</f>
        <v/>
      </c>
      <c r="G50" s="1">
        <f>IF(A50="",IF(OR(NOT(ISBLANK(B50)),NOT(ISBLANK(D50))),"Needs component",""),IF(COUNTIF(Components!$A$8:$A$107,A50)&lt;&gt;1,"Invalid component",IF(ISBLANK(B50),"Needs quantity",IF(NOT(ISNUMBER(B50)),"Invalid quantity",IF(OR(B50&lt;0,B50&lt;&gt;INT(B50)),"Invalid quantity",IF(NOT(ISNUMBER(E50)),"Needs heat input",IF(NOT(ISBLANK(D50)),"Override used","Catalog basis")))))))</f>
        <v/>
      </c>
      <c r="H50" s="1" t="n"/>
      <c r="I50" s="12">
        <f>IF(A50="","",IF(COUNTIF(Components!$A$8:$A$107,A50)&lt;&gt;1,"Select a unique catalog component",VLOOKUP(A50,Components!$A$8:$F$107,6,FALSE)))</f>
        <v/>
      </c>
      <c r="J50" s="1">
        <f>IF(OR(A50="",COUNTIF(Components!$A$8:$A$107,A50)&lt;&gt;1),"",IF(VLOOKUP(A50,Components!$A$8:$S$107,9,FALSE)="","",VLOOKUP(A50,Components!$A$8:$S$107,9,FALSE)))</f>
        <v/>
      </c>
      <c r="K50" s="14">
        <f>IF(OR(A50="",COUNTIF(Components!$A$8:$A$107,A50)&lt;&gt;1),"",IF(VLOOKUP(A50,Components!$A$8:$S$107,10,FALSE)="","",VLOOKUP(A50,Components!$A$8:$S$107,10,FALSE)))</f>
        <v/>
      </c>
      <c r="L50" s="14">
        <f>IF(OR(A50="",COUNTIF(Components!$A$8:$A$107,A50)&lt;&gt;1),"",IF(VLOOKUP(A50,Components!$A$8:$S$107,11,FALSE)="","",VLOOKUP(A50,Components!$A$8:$S$107,11,FALSE)))</f>
        <v/>
      </c>
      <c r="M50" s="14">
        <f>IF(OR(A50="",COUNTIF(Components!$A$8:$A$107,A50)&lt;&gt;1),"",IF(VLOOKUP(A50,Components!$A$8:$S$107,12,FALSE)="","",VLOOKUP(A50,Components!$A$8:$S$107,12,FALSE)))</f>
        <v/>
      </c>
      <c r="N50" s="15">
        <f>IF(OR(A50="",COUNTIF(Components!$A$8:$A$107,A50)&lt;&gt;1),"",IF(VLOOKUP(A50,Components!$A$8:$S$107,13,FALSE)="","",VLOOKUP(A50,Components!$A$8:$S$107,13,FALSE)))</f>
        <v/>
      </c>
      <c r="O50" s="15">
        <f>IF(OR(N50="",NOT(ISNUMBER(B50))),"",B50*N50)</f>
        <v/>
      </c>
      <c r="P50" s="1">
        <f>IF(OR(A50="",COUNTIF(Components!$A$8:$A$107,A50)&lt;&gt;1),"",IF(VLOOKUP(A50,Components!$A$8:$S$107,14,FALSE)="","",VLOOKUP(A50,Components!$A$8:$S$107,14,FALSE)))</f>
        <v/>
      </c>
      <c r="Q50" s="14">
        <f>IF(OR(A50="",COUNTIF(Components!$A$8:$A$107,A50)&lt;&gt;1),"",IF(VLOOKUP(A50,Components!$A$8:$S$107,15,FALSE)="","",VLOOKUP(A50,Components!$A$8:$S$107,15,FALSE)))</f>
        <v/>
      </c>
      <c r="R50" s="14">
        <f>IF(OR(A50="",COUNTIF(Components!$A$8:$A$107,A50)&lt;&gt;1),"",IF(VLOOKUP(A50,Components!$A$8:$S$107,16,FALSE)="","",VLOOKUP(A50,Components!$A$8:$S$107,16,FALSE)))</f>
        <v/>
      </c>
      <c r="S50" s="14">
        <f>IF(OR(A50="",COUNTIF(Components!$A$8:$A$107,A50)&lt;&gt;1),"",IF(VLOOKUP(A50,Components!$A$8:$S$107,17,FALSE)="","",VLOOKUP(A50,Components!$A$8:$S$107,17,FALSE)))</f>
        <v/>
      </c>
      <c r="T50" s="15">
        <f>IF(OR(A50="",COUNTIF(Components!$A$8:$A$107,A50)&lt;&gt;1),"",IF(VLOOKUP(A50,Components!$A$8:$S$107,18,FALSE)="","",VLOOKUP(A50,Components!$A$8:$S$107,18,FALSE)))</f>
        <v/>
      </c>
      <c r="U50" s="15">
        <f>IF(OR(T50="",NOT(ISNUMBER(B50))),"",B50*T50)</f>
        <v/>
      </c>
    </row>
    <row r="51" ht="48" customHeight="1">
      <c r="A51" s="4" t="n"/>
      <c r="B51" s="11" t="n"/>
      <c r="C51" s="6">
        <f>IF(A51="","",IF(COUNTIF(Components!$A$8:$A$107,A51)&lt;&gt;1,"Pending",VLOOKUP(A51,Components!$A$8:$F$107,5,FALSE)))</f>
        <v/>
      </c>
      <c r="D51" s="5" t="n"/>
      <c r="E51" s="6">
        <f>IF(A51="","",IF(ISBLANK(D51),C51,IF(AND(ISNUMBER(D51),D51&gt;=0),D51,"Pending")))</f>
        <v/>
      </c>
      <c r="F51" s="6">
        <f>IF(OR(G51="Catalog basis",G51="Override used"),B51*E51,"")</f>
        <v/>
      </c>
      <c r="G51" s="1">
        <f>IF(A51="",IF(OR(NOT(ISBLANK(B51)),NOT(ISBLANK(D51))),"Needs component",""),IF(COUNTIF(Components!$A$8:$A$107,A51)&lt;&gt;1,"Invalid component",IF(ISBLANK(B51),"Needs quantity",IF(NOT(ISNUMBER(B51)),"Invalid quantity",IF(OR(B51&lt;0,B51&lt;&gt;INT(B51)),"Invalid quantity",IF(NOT(ISNUMBER(E51)),"Needs heat input",IF(NOT(ISBLANK(D51)),"Override used","Catalog basis")))))))</f>
        <v/>
      </c>
      <c r="H51" s="1" t="n"/>
      <c r="I51" s="12">
        <f>IF(A51="","",IF(COUNTIF(Components!$A$8:$A$107,A51)&lt;&gt;1,"Select a unique catalog component",VLOOKUP(A51,Components!$A$8:$F$107,6,FALSE)))</f>
        <v/>
      </c>
      <c r="J51" s="1">
        <f>IF(OR(A51="",COUNTIF(Components!$A$8:$A$107,A51)&lt;&gt;1),"",IF(VLOOKUP(A51,Components!$A$8:$S$107,9,FALSE)="","",VLOOKUP(A51,Components!$A$8:$S$107,9,FALSE)))</f>
        <v/>
      </c>
      <c r="K51" s="14">
        <f>IF(OR(A51="",COUNTIF(Components!$A$8:$A$107,A51)&lt;&gt;1),"",IF(VLOOKUP(A51,Components!$A$8:$S$107,10,FALSE)="","",VLOOKUP(A51,Components!$A$8:$S$107,10,FALSE)))</f>
        <v/>
      </c>
      <c r="L51" s="14">
        <f>IF(OR(A51="",COUNTIF(Components!$A$8:$A$107,A51)&lt;&gt;1),"",IF(VLOOKUP(A51,Components!$A$8:$S$107,11,FALSE)="","",VLOOKUP(A51,Components!$A$8:$S$107,11,FALSE)))</f>
        <v/>
      </c>
      <c r="M51" s="14">
        <f>IF(OR(A51="",COUNTIF(Components!$A$8:$A$107,A51)&lt;&gt;1),"",IF(VLOOKUP(A51,Components!$A$8:$S$107,12,FALSE)="","",VLOOKUP(A51,Components!$A$8:$S$107,12,FALSE)))</f>
        <v/>
      </c>
      <c r="N51" s="15">
        <f>IF(OR(A51="",COUNTIF(Components!$A$8:$A$107,A51)&lt;&gt;1),"",IF(VLOOKUP(A51,Components!$A$8:$S$107,13,FALSE)="","",VLOOKUP(A51,Components!$A$8:$S$107,13,FALSE)))</f>
        <v/>
      </c>
      <c r="O51" s="15">
        <f>IF(OR(N51="",NOT(ISNUMBER(B51))),"",B51*N51)</f>
        <v/>
      </c>
      <c r="P51" s="1">
        <f>IF(OR(A51="",COUNTIF(Components!$A$8:$A$107,A51)&lt;&gt;1),"",IF(VLOOKUP(A51,Components!$A$8:$S$107,14,FALSE)="","",VLOOKUP(A51,Components!$A$8:$S$107,14,FALSE)))</f>
        <v/>
      </c>
      <c r="Q51" s="14">
        <f>IF(OR(A51="",COUNTIF(Components!$A$8:$A$107,A51)&lt;&gt;1),"",IF(VLOOKUP(A51,Components!$A$8:$S$107,15,FALSE)="","",VLOOKUP(A51,Components!$A$8:$S$107,15,FALSE)))</f>
        <v/>
      </c>
      <c r="R51" s="14">
        <f>IF(OR(A51="",COUNTIF(Components!$A$8:$A$107,A51)&lt;&gt;1),"",IF(VLOOKUP(A51,Components!$A$8:$S$107,16,FALSE)="","",VLOOKUP(A51,Components!$A$8:$S$107,16,FALSE)))</f>
        <v/>
      </c>
      <c r="S51" s="14">
        <f>IF(OR(A51="",COUNTIF(Components!$A$8:$A$107,A51)&lt;&gt;1),"",IF(VLOOKUP(A51,Components!$A$8:$S$107,17,FALSE)="","",VLOOKUP(A51,Components!$A$8:$S$107,17,FALSE)))</f>
        <v/>
      </c>
      <c r="T51" s="15">
        <f>IF(OR(A51="",COUNTIF(Components!$A$8:$A$107,A51)&lt;&gt;1),"",IF(VLOOKUP(A51,Components!$A$8:$S$107,18,FALSE)="","",VLOOKUP(A51,Components!$A$8:$S$107,18,FALSE)))</f>
        <v/>
      </c>
      <c r="U51" s="15">
        <f>IF(OR(T51="",NOT(ISNUMBER(B51))),"",B51*T51)</f>
        <v/>
      </c>
    </row>
    <row r="52" ht="48" customHeight="1">
      <c r="A52" s="4" t="n"/>
      <c r="B52" s="11" t="n"/>
      <c r="C52" s="6">
        <f>IF(A52="","",IF(COUNTIF(Components!$A$8:$A$107,A52)&lt;&gt;1,"Pending",VLOOKUP(A52,Components!$A$8:$F$107,5,FALSE)))</f>
        <v/>
      </c>
      <c r="D52" s="5" t="n"/>
      <c r="E52" s="6">
        <f>IF(A52="","",IF(ISBLANK(D52),C52,IF(AND(ISNUMBER(D52),D52&gt;=0),D52,"Pending")))</f>
        <v/>
      </c>
      <c r="F52" s="6">
        <f>IF(OR(G52="Catalog basis",G52="Override used"),B52*E52,"")</f>
        <v/>
      </c>
      <c r="G52" s="1">
        <f>IF(A52="",IF(OR(NOT(ISBLANK(B52)),NOT(ISBLANK(D52))),"Needs component",""),IF(COUNTIF(Components!$A$8:$A$107,A52)&lt;&gt;1,"Invalid component",IF(ISBLANK(B52),"Needs quantity",IF(NOT(ISNUMBER(B52)),"Invalid quantity",IF(OR(B52&lt;0,B52&lt;&gt;INT(B52)),"Invalid quantity",IF(NOT(ISNUMBER(E52)),"Needs heat input",IF(NOT(ISBLANK(D52)),"Override used","Catalog basis")))))))</f>
        <v/>
      </c>
      <c r="H52" s="1" t="n"/>
      <c r="I52" s="12">
        <f>IF(A52="","",IF(COUNTIF(Components!$A$8:$A$107,A52)&lt;&gt;1,"Select a unique catalog component",VLOOKUP(A52,Components!$A$8:$F$107,6,FALSE)))</f>
        <v/>
      </c>
      <c r="J52" s="1">
        <f>IF(OR(A52="",COUNTIF(Components!$A$8:$A$107,A52)&lt;&gt;1),"",IF(VLOOKUP(A52,Components!$A$8:$S$107,9,FALSE)="","",VLOOKUP(A52,Components!$A$8:$S$107,9,FALSE)))</f>
        <v/>
      </c>
      <c r="K52" s="14">
        <f>IF(OR(A52="",COUNTIF(Components!$A$8:$A$107,A52)&lt;&gt;1),"",IF(VLOOKUP(A52,Components!$A$8:$S$107,10,FALSE)="","",VLOOKUP(A52,Components!$A$8:$S$107,10,FALSE)))</f>
        <v/>
      </c>
      <c r="L52" s="14">
        <f>IF(OR(A52="",COUNTIF(Components!$A$8:$A$107,A52)&lt;&gt;1),"",IF(VLOOKUP(A52,Components!$A$8:$S$107,11,FALSE)="","",VLOOKUP(A52,Components!$A$8:$S$107,11,FALSE)))</f>
        <v/>
      </c>
      <c r="M52" s="14">
        <f>IF(OR(A52="",COUNTIF(Components!$A$8:$A$107,A52)&lt;&gt;1),"",IF(VLOOKUP(A52,Components!$A$8:$S$107,12,FALSE)="","",VLOOKUP(A52,Components!$A$8:$S$107,12,FALSE)))</f>
        <v/>
      </c>
      <c r="N52" s="15">
        <f>IF(OR(A52="",COUNTIF(Components!$A$8:$A$107,A52)&lt;&gt;1),"",IF(VLOOKUP(A52,Components!$A$8:$S$107,13,FALSE)="","",VLOOKUP(A52,Components!$A$8:$S$107,13,FALSE)))</f>
        <v/>
      </c>
      <c r="O52" s="15">
        <f>IF(OR(N52="",NOT(ISNUMBER(B52))),"",B52*N52)</f>
        <v/>
      </c>
      <c r="P52" s="1">
        <f>IF(OR(A52="",COUNTIF(Components!$A$8:$A$107,A52)&lt;&gt;1),"",IF(VLOOKUP(A52,Components!$A$8:$S$107,14,FALSE)="","",VLOOKUP(A52,Components!$A$8:$S$107,14,FALSE)))</f>
        <v/>
      </c>
      <c r="Q52" s="14">
        <f>IF(OR(A52="",COUNTIF(Components!$A$8:$A$107,A52)&lt;&gt;1),"",IF(VLOOKUP(A52,Components!$A$8:$S$107,15,FALSE)="","",VLOOKUP(A52,Components!$A$8:$S$107,15,FALSE)))</f>
        <v/>
      </c>
      <c r="R52" s="14">
        <f>IF(OR(A52="",COUNTIF(Components!$A$8:$A$107,A52)&lt;&gt;1),"",IF(VLOOKUP(A52,Components!$A$8:$S$107,16,FALSE)="","",VLOOKUP(A52,Components!$A$8:$S$107,16,FALSE)))</f>
        <v/>
      </c>
      <c r="S52" s="14">
        <f>IF(OR(A52="",COUNTIF(Components!$A$8:$A$107,A52)&lt;&gt;1),"",IF(VLOOKUP(A52,Components!$A$8:$S$107,17,FALSE)="","",VLOOKUP(A52,Components!$A$8:$S$107,17,FALSE)))</f>
        <v/>
      </c>
      <c r="T52" s="15">
        <f>IF(OR(A52="",COUNTIF(Components!$A$8:$A$107,A52)&lt;&gt;1),"",IF(VLOOKUP(A52,Components!$A$8:$S$107,18,FALSE)="","",VLOOKUP(A52,Components!$A$8:$S$107,18,FALSE)))</f>
        <v/>
      </c>
      <c r="U52" s="15">
        <f>IF(OR(T52="",NOT(ISNUMBER(B52))),"",B52*T52)</f>
        <v/>
      </c>
    </row>
    <row r="53" ht="48" customHeight="1">
      <c r="A53" s="4" t="n"/>
      <c r="B53" s="11" t="n"/>
      <c r="C53" s="6">
        <f>IF(A53="","",IF(COUNTIF(Components!$A$8:$A$107,A53)&lt;&gt;1,"Pending",VLOOKUP(A53,Components!$A$8:$F$107,5,FALSE)))</f>
        <v/>
      </c>
      <c r="D53" s="5" t="n"/>
      <c r="E53" s="6">
        <f>IF(A53="","",IF(ISBLANK(D53),C53,IF(AND(ISNUMBER(D53),D53&gt;=0),D53,"Pending")))</f>
        <v/>
      </c>
      <c r="F53" s="6">
        <f>IF(OR(G53="Catalog basis",G53="Override used"),B53*E53,"")</f>
        <v/>
      </c>
      <c r="G53" s="1">
        <f>IF(A53="",IF(OR(NOT(ISBLANK(B53)),NOT(ISBLANK(D53))),"Needs component",""),IF(COUNTIF(Components!$A$8:$A$107,A53)&lt;&gt;1,"Invalid component",IF(ISBLANK(B53),"Needs quantity",IF(NOT(ISNUMBER(B53)),"Invalid quantity",IF(OR(B53&lt;0,B53&lt;&gt;INT(B53)),"Invalid quantity",IF(NOT(ISNUMBER(E53)),"Needs heat input",IF(NOT(ISBLANK(D53)),"Override used","Catalog basis")))))))</f>
        <v/>
      </c>
      <c r="H53" s="1" t="n"/>
      <c r="I53" s="12">
        <f>IF(A53="","",IF(COUNTIF(Components!$A$8:$A$107,A53)&lt;&gt;1,"Select a unique catalog component",VLOOKUP(A53,Components!$A$8:$F$107,6,FALSE)))</f>
        <v/>
      </c>
      <c r="J53" s="1">
        <f>IF(OR(A53="",COUNTIF(Components!$A$8:$A$107,A53)&lt;&gt;1),"",IF(VLOOKUP(A53,Components!$A$8:$S$107,9,FALSE)="","",VLOOKUP(A53,Components!$A$8:$S$107,9,FALSE)))</f>
        <v/>
      </c>
      <c r="K53" s="14">
        <f>IF(OR(A53="",COUNTIF(Components!$A$8:$A$107,A53)&lt;&gt;1),"",IF(VLOOKUP(A53,Components!$A$8:$S$107,10,FALSE)="","",VLOOKUP(A53,Components!$A$8:$S$107,10,FALSE)))</f>
        <v/>
      </c>
      <c r="L53" s="14">
        <f>IF(OR(A53="",COUNTIF(Components!$A$8:$A$107,A53)&lt;&gt;1),"",IF(VLOOKUP(A53,Components!$A$8:$S$107,11,FALSE)="","",VLOOKUP(A53,Components!$A$8:$S$107,11,FALSE)))</f>
        <v/>
      </c>
      <c r="M53" s="14">
        <f>IF(OR(A53="",COUNTIF(Components!$A$8:$A$107,A53)&lt;&gt;1),"",IF(VLOOKUP(A53,Components!$A$8:$S$107,12,FALSE)="","",VLOOKUP(A53,Components!$A$8:$S$107,12,FALSE)))</f>
        <v/>
      </c>
      <c r="N53" s="15">
        <f>IF(OR(A53="",COUNTIF(Components!$A$8:$A$107,A53)&lt;&gt;1),"",IF(VLOOKUP(A53,Components!$A$8:$S$107,13,FALSE)="","",VLOOKUP(A53,Components!$A$8:$S$107,13,FALSE)))</f>
        <v/>
      </c>
      <c r="O53" s="15">
        <f>IF(OR(N53="",NOT(ISNUMBER(B53))),"",B53*N53)</f>
        <v/>
      </c>
      <c r="P53" s="1">
        <f>IF(OR(A53="",COUNTIF(Components!$A$8:$A$107,A53)&lt;&gt;1),"",IF(VLOOKUP(A53,Components!$A$8:$S$107,14,FALSE)="","",VLOOKUP(A53,Components!$A$8:$S$107,14,FALSE)))</f>
        <v/>
      </c>
      <c r="Q53" s="14">
        <f>IF(OR(A53="",COUNTIF(Components!$A$8:$A$107,A53)&lt;&gt;1),"",IF(VLOOKUP(A53,Components!$A$8:$S$107,15,FALSE)="","",VLOOKUP(A53,Components!$A$8:$S$107,15,FALSE)))</f>
        <v/>
      </c>
      <c r="R53" s="14">
        <f>IF(OR(A53="",COUNTIF(Components!$A$8:$A$107,A53)&lt;&gt;1),"",IF(VLOOKUP(A53,Components!$A$8:$S$107,16,FALSE)="","",VLOOKUP(A53,Components!$A$8:$S$107,16,FALSE)))</f>
        <v/>
      </c>
      <c r="S53" s="14">
        <f>IF(OR(A53="",COUNTIF(Components!$A$8:$A$107,A53)&lt;&gt;1),"",IF(VLOOKUP(A53,Components!$A$8:$S$107,17,FALSE)="","",VLOOKUP(A53,Components!$A$8:$S$107,17,FALSE)))</f>
        <v/>
      </c>
      <c r="T53" s="15">
        <f>IF(OR(A53="",COUNTIF(Components!$A$8:$A$107,A53)&lt;&gt;1),"",IF(VLOOKUP(A53,Components!$A$8:$S$107,18,FALSE)="","",VLOOKUP(A53,Components!$A$8:$S$107,18,FALSE)))</f>
        <v/>
      </c>
      <c r="U53" s="15">
        <f>IF(OR(T53="",NOT(ISNUMBER(B53))),"",B53*T53)</f>
        <v/>
      </c>
    </row>
    <row r="54" ht="48" customHeight="1">
      <c r="A54" s="4" t="n"/>
      <c r="B54" s="11" t="n"/>
      <c r="C54" s="6">
        <f>IF(A54="","",IF(COUNTIF(Components!$A$8:$A$107,A54)&lt;&gt;1,"Pending",VLOOKUP(A54,Components!$A$8:$F$107,5,FALSE)))</f>
        <v/>
      </c>
      <c r="D54" s="5" t="n"/>
      <c r="E54" s="6">
        <f>IF(A54="","",IF(ISBLANK(D54),C54,IF(AND(ISNUMBER(D54),D54&gt;=0),D54,"Pending")))</f>
        <v/>
      </c>
      <c r="F54" s="6">
        <f>IF(OR(G54="Catalog basis",G54="Override used"),B54*E54,"")</f>
        <v/>
      </c>
      <c r="G54" s="1">
        <f>IF(A54="",IF(OR(NOT(ISBLANK(B54)),NOT(ISBLANK(D54))),"Needs component",""),IF(COUNTIF(Components!$A$8:$A$107,A54)&lt;&gt;1,"Invalid component",IF(ISBLANK(B54),"Needs quantity",IF(NOT(ISNUMBER(B54)),"Invalid quantity",IF(OR(B54&lt;0,B54&lt;&gt;INT(B54)),"Invalid quantity",IF(NOT(ISNUMBER(E54)),"Needs heat input",IF(NOT(ISBLANK(D54)),"Override used","Catalog basis")))))))</f>
        <v/>
      </c>
      <c r="H54" s="1" t="n"/>
      <c r="I54" s="12">
        <f>IF(A54="","",IF(COUNTIF(Components!$A$8:$A$107,A54)&lt;&gt;1,"Select a unique catalog component",VLOOKUP(A54,Components!$A$8:$F$107,6,FALSE)))</f>
        <v/>
      </c>
      <c r="J54" s="1">
        <f>IF(OR(A54="",COUNTIF(Components!$A$8:$A$107,A54)&lt;&gt;1),"",IF(VLOOKUP(A54,Components!$A$8:$S$107,9,FALSE)="","",VLOOKUP(A54,Components!$A$8:$S$107,9,FALSE)))</f>
        <v/>
      </c>
      <c r="K54" s="14">
        <f>IF(OR(A54="",COUNTIF(Components!$A$8:$A$107,A54)&lt;&gt;1),"",IF(VLOOKUP(A54,Components!$A$8:$S$107,10,FALSE)="","",VLOOKUP(A54,Components!$A$8:$S$107,10,FALSE)))</f>
        <v/>
      </c>
      <c r="L54" s="14">
        <f>IF(OR(A54="",COUNTIF(Components!$A$8:$A$107,A54)&lt;&gt;1),"",IF(VLOOKUP(A54,Components!$A$8:$S$107,11,FALSE)="","",VLOOKUP(A54,Components!$A$8:$S$107,11,FALSE)))</f>
        <v/>
      </c>
      <c r="M54" s="14">
        <f>IF(OR(A54="",COUNTIF(Components!$A$8:$A$107,A54)&lt;&gt;1),"",IF(VLOOKUP(A54,Components!$A$8:$S$107,12,FALSE)="","",VLOOKUP(A54,Components!$A$8:$S$107,12,FALSE)))</f>
        <v/>
      </c>
      <c r="N54" s="15">
        <f>IF(OR(A54="",COUNTIF(Components!$A$8:$A$107,A54)&lt;&gt;1),"",IF(VLOOKUP(A54,Components!$A$8:$S$107,13,FALSE)="","",VLOOKUP(A54,Components!$A$8:$S$107,13,FALSE)))</f>
        <v/>
      </c>
      <c r="O54" s="15">
        <f>IF(OR(N54="",NOT(ISNUMBER(B54))),"",B54*N54)</f>
        <v/>
      </c>
      <c r="P54" s="1">
        <f>IF(OR(A54="",COUNTIF(Components!$A$8:$A$107,A54)&lt;&gt;1),"",IF(VLOOKUP(A54,Components!$A$8:$S$107,14,FALSE)="","",VLOOKUP(A54,Components!$A$8:$S$107,14,FALSE)))</f>
        <v/>
      </c>
      <c r="Q54" s="14">
        <f>IF(OR(A54="",COUNTIF(Components!$A$8:$A$107,A54)&lt;&gt;1),"",IF(VLOOKUP(A54,Components!$A$8:$S$107,15,FALSE)="","",VLOOKUP(A54,Components!$A$8:$S$107,15,FALSE)))</f>
        <v/>
      </c>
      <c r="R54" s="14">
        <f>IF(OR(A54="",COUNTIF(Components!$A$8:$A$107,A54)&lt;&gt;1),"",IF(VLOOKUP(A54,Components!$A$8:$S$107,16,FALSE)="","",VLOOKUP(A54,Components!$A$8:$S$107,16,FALSE)))</f>
        <v/>
      </c>
      <c r="S54" s="14">
        <f>IF(OR(A54="",COUNTIF(Components!$A$8:$A$107,A54)&lt;&gt;1),"",IF(VLOOKUP(A54,Components!$A$8:$S$107,17,FALSE)="","",VLOOKUP(A54,Components!$A$8:$S$107,17,FALSE)))</f>
        <v/>
      </c>
      <c r="T54" s="15">
        <f>IF(OR(A54="",COUNTIF(Components!$A$8:$A$107,A54)&lt;&gt;1),"",IF(VLOOKUP(A54,Components!$A$8:$S$107,18,FALSE)="","",VLOOKUP(A54,Components!$A$8:$S$107,18,FALSE)))</f>
        <v/>
      </c>
      <c r="U54" s="15">
        <f>IF(OR(T54="",NOT(ISNUMBER(B54))),"",B54*T54)</f>
        <v/>
      </c>
    </row>
    <row r="55" ht="48" customHeight="1">
      <c r="A55" s="4" t="n"/>
      <c r="B55" s="11" t="n"/>
      <c r="C55" s="6">
        <f>IF(A55="","",IF(COUNTIF(Components!$A$8:$A$107,A55)&lt;&gt;1,"Pending",VLOOKUP(A55,Components!$A$8:$F$107,5,FALSE)))</f>
        <v/>
      </c>
      <c r="D55" s="5" t="n"/>
      <c r="E55" s="6">
        <f>IF(A55="","",IF(ISBLANK(D55),C55,IF(AND(ISNUMBER(D55),D55&gt;=0),D55,"Pending")))</f>
        <v/>
      </c>
      <c r="F55" s="6">
        <f>IF(OR(G55="Catalog basis",G55="Override used"),B55*E55,"")</f>
        <v/>
      </c>
      <c r="G55" s="1">
        <f>IF(A55="",IF(OR(NOT(ISBLANK(B55)),NOT(ISBLANK(D55))),"Needs component",""),IF(COUNTIF(Components!$A$8:$A$107,A55)&lt;&gt;1,"Invalid component",IF(ISBLANK(B55),"Needs quantity",IF(NOT(ISNUMBER(B55)),"Invalid quantity",IF(OR(B55&lt;0,B55&lt;&gt;INT(B55)),"Invalid quantity",IF(NOT(ISNUMBER(E55)),"Needs heat input",IF(NOT(ISBLANK(D55)),"Override used","Catalog basis")))))))</f>
        <v/>
      </c>
      <c r="H55" s="1" t="n"/>
      <c r="I55" s="12">
        <f>IF(A55="","",IF(COUNTIF(Components!$A$8:$A$107,A55)&lt;&gt;1,"Select a unique catalog component",VLOOKUP(A55,Components!$A$8:$F$107,6,FALSE)))</f>
        <v/>
      </c>
      <c r="J55" s="1">
        <f>IF(OR(A55="",COUNTIF(Components!$A$8:$A$107,A55)&lt;&gt;1),"",IF(VLOOKUP(A55,Components!$A$8:$S$107,9,FALSE)="","",VLOOKUP(A55,Components!$A$8:$S$107,9,FALSE)))</f>
        <v/>
      </c>
      <c r="K55" s="14">
        <f>IF(OR(A55="",COUNTIF(Components!$A$8:$A$107,A55)&lt;&gt;1),"",IF(VLOOKUP(A55,Components!$A$8:$S$107,10,FALSE)="","",VLOOKUP(A55,Components!$A$8:$S$107,10,FALSE)))</f>
        <v/>
      </c>
      <c r="L55" s="14">
        <f>IF(OR(A55="",COUNTIF(Components!$A$8:$A$107,A55)&lt;&gt;1),"",IF(VLOOKUP(A55,Components!$A$8:$S$107,11,FALSE)="","",VLOOKUP(A55,Components!$A$8:$S$107,11,FALSE)))</f>
        <v/>
      </c>
      <c r="M55" s="14">
        <f>IF(OR(A55="",COUNTIF(Components!$A$8:$A$107,A55)&lt;&gt;1),"",IF(VLOOKUP(A55,Components!$A$8:$S$107,12,FALSE)="","",VLOOKUP(A55,Components!$A$8:$S$107,12,FALSE)))</f>
        <v/>
      </c>
      <c r="N55" s="15">
        <f>IF(OR(A55="",COUNTIF(Components!$A$8:$A$107,A55)&lt;&gt;1),"",IF(VLOOKUP(A55,Components!$A$8:$S$107,13,FALSE)="","",VLOOKUP(A55,Components!$A$8:$S$107,13,FALSE)))</f>
        <v/>
      </c>
      <c r="O55" s="15">
        <f>IF(OR(N55="",NOT(ISNUMBER(B55))),"",B55*N55)</f>
        <v/>
      </c>
      <c r="P55" s="1">
        <f>IF(OR(A55="",COUNTIF(Components!$A$8:$A$107,A55)&lt;&gt;1),"",IF(VLOOKUP(A55,Components!$A$8:$S$107,14,FALSE)="","",VLOOKUP(A55,Components!$A$8:$S$107,14,FALSE)))</f>
        <v/>
      </c>
      <c r="Q55" s="14">
        <f>IF(OR(A55="",COUNTIF(Components!$A$8:$A$107,A55)&lt;&gt;1),"",IF(VLOOKUP(A55,Components!$A$8:$S$107,15,FALSE)="","",VLOOKUP(A55,Components!$A$8:$S$107,15,FALSE)))</f>
        <v/>
      </c>
      <c r="R55" s="14">
        <f>IF(OR(A55="",COUNTIF(Components!$A$8:$A$107,A55)&lt;&gt;1),"",IF(VLOOKUP(A55,Components!$A$8:$S$107,16,FALSE)="","",VLOOKUP(A55,Components!$A$8:$S$107,16,FALSE)))</f>
        <v/>
      </c>
      <c r="S55" s="14">
        <f>IF(OR(A55="",COUNTIF(Components!$A$8:$A$107,A55)&lt;&gt;1),"",IF(VLOOKUP(A55,Components!$A$8:$S$107,17,FALSE)="","",VLOOKUP(A55,Components!$A$8:$S$107,17,FALSE)))</f>
        <v/>
      </c>
      <c r="T55" s="15">
        <f>IF(OR(A55="",COUNTIF(Components!$A$8:$A$107,A55)&lt;&gt;1),"",IF(VLOOKUP(A55,Components!$A$8:$S$107,18,FALSE)="","",VLOOKUP(A55,Components!$A$8:$S$107,18,FALSE)))</f>
        <v/>
      </c>
      <c r="U55" s="15">
        <f>IF(OR(T55="",NOT(ISNUMBER(B55))),"",B55*T55)</f>
        <v/>
      </c>
    </row>
    <row r="56" ht="48" customHeight="1">
      <c r="A56" s="4" t="n"/>
      <c r="B56" s="11" t="n"/>
      <c r="C56" s="6">
        <f>IF(A56="","",IF(COUNTIF(Components!$A$8:$A$107,A56)&lt;&gt;1,"Pending",VLOOKUP(A56,Components!$A$8:$F$107,5,FALSE)))</f>
        <v/>
      </c>
      <c r="D56" s="5" t="n"/>
      <c r="E56" s="6">
        <f>IF(A56="","",IF(ISBLANK(D56),C56,IF(AND(ISNUMBER(D56),D56&gt;=0),D56,"Pending")))</f>
        <v/>
      </c>
      <c r="F56" s="6">
        <f>IF(OR(G56="Catalog basis",G56="Override used"),B56*E56,"")</f>
        <v/>
      </c>
      <c r="G56" s="1">
        <f>IF(A56="",IF(OR(NOT(ISBLANK(B56)),NOT(ISBLANK(D56))),"Needs component",""),IF(COUNTIF(Components!$A$8:$A$107,A56)&lt;&gt;1,"Invalid component",IF(ISBLANK(B56),"Needs quantity",IF(NOT(ISNUMBER(B56)),"Invalid quantity",IF(OR(B56&lt;0,B56&lt;&gt;INT(B56)),"Invalid quantity",IF(NOT(ISNUMBER(E56)),"Needs heat input",IF(NOT(ISBLANK(D56)),"Override used","Catalog basis")))))))</f>
        <v/>
      </c>
      <c r="H56" s="1" t="n"/>
      <c r="I56" s="12">
        <f>IF(A56="","",IF(COUNTIF(Components!$A$8:$A$107,A56)&lt;&gt;1,"Select a unique catalog component",VLOOKUP(A56,Components!$A$8:$F$107,6,FALSE)))</f>
        <v/>
      </c>
      <c r="J56" s="1">
        <f>IF(OR(A56="",COUNTIF(Components!$A$8:$A$107,A56)&lt;&gt;1),"",IF(VLOOKUP(A56,Components!$A$8:$S$107,9,FALSE)="","",VLOOKUP(A56,Components!$A$8:$S$107,9,FALSE)))</f>
        <v/>
      </c>
      <c r="K56" s="14">
        <f>IF(OR(A56="",COUNTIF(Components!$A$8:$A$107,A56)&lt;&gt;1),"",IF(VLOOKUP(A56,Components!$A$8:$S$107,10,FALSE)="","",VLOOKUP(A56,Components!$A$8:$S$107,10,FALSE)))</f>
        <v/>
      </c>
      <c r="L56" s="14">
        <f>IF(OR(A56="",COUNTIF(Components!$A$8:$A$107,A56)&lt;&gt;1),"",IF(VLOOKUP(A56,Components!$A$8:$S$107,11,FALSE)="","",VLOOKUP(A56,Components!$A$8:$S$107,11,FALSE)))</f>
        <v/>
      </c>
      <c r="M56" s="14">
        <f>IF(OR(A56="",COUNTIF(Components!$A$8:$A$107,A56)&lt;&gt;1),"",IF(VLOOKUP(A56,Components!$A$8:$S$107,12,FALSE)="","",VLOOKUP(A56,Components!$A$8:$S$107,12,FALSE)))</f>
        <v/>
      </c>
      <c r="N56" s="15">
        <f>IF(OR(A56="",COUNTIF(Components!$A$8:$A$107,A56)&lt;&gt;1),"",IF(VLOOKUP(A56,Components!$A$8:$S$107,13,FALSE)="","",VLOOKUP(A56,Components!$A$8:$S$107,13,FALSE)))</f>
        <v/>
      </c>
      <c r="O56" s="15">
        <f>IF(OR(N56="",NOT(ISNUMBER(B56))),"",B56*N56)</f>
        <v/>
      </c>
      <c r="P56" s="1">
        <f>IF(OR(A56="",COUNTIF(Components!$A$8:$A$107,A56)&lt;&gt;1),"",IF(VLOOKUP(A56,Components!$A$8:$S$107,14,FALSE)="","",VLOOKUP(A56,Components!$A$8:$S$107,14,FALSE)))</f>
        <v/>
      </c>
      <c r="Q56" s="14">
        <f>IF(OR(A56="",COUNTIF(Components!$A$8:$A$107,A56)&lt;&gt;1),"",IF(VLOOKUP(A56,Components!$A$8:$S$107,15,FALSE)="","",VLOOKUP(A56,Components!$A$8:$S$107,15,FALSE)))</f>
        <v/>
      </c>
      <c r="R56" s="14">
        <f>IF(OR(A56="",COUNTIF(Components!$A$8:$A$107,A56)&lt;&gt;1),"",IF(VLOOKUP(A56,Components!$A$8:$S$107,16,FALSE)="","",VLOOKUP(A56,Components!$A$8:$S$107,16,FALSE)))</f>
        <v/>
      </c>
      <c r="S56" s="14">
        <f>IF(OR(A56="",COUNTIF(Components!$A$8:$A$107,A56)&lt;&gt;1),"",IF(VLOOKUP(A56,Components!$A$8:$S$107,17,FALSE)="","",VLOOKUP(A56,Components!$A$8:$S$107,17,FALSE)))</f>
        <v/>
      </c>
      <c r="T56" s="15">
        <f>IF(OR(A56="",COUNTIF(Components!$A$8:$A$107,A56)&lt;&gt;1),"",IF(VLOOKUP(A56,Components!$A$8:$S$107,18,FALSE)="","",VLOOKUP(A56,Components!$A$8:$S$107,18,FALSE)))</f>
        <v/>
      </c>
      <c r="U56" s="15">
        <f>IF(OR(T56="",NOT(ISNUMBER(B56))),"",B56*T56)</f>
        <v/>
      </c>
    </row>
    <row r="57" ht="48" customHeight="1">
      <c r="A57" s="4" t="n"/>
      <c r="B57" s="11" t="n"/>
      <c r="C57" s="6">
        <f>IF(A57="","",IF(COUNTIF(Components!$A$8:$A$107,A57)&lt;&gt;1,"Pending",VLOOKUP(A57,Components!$A$8:$F$107,5,FALSE)))</f>
        <v/>
      </c>
      <c r="D57" s="5" t="n"/>
      <c r="E57" s="6">
        <f>IF(A57="","",IF(ISBLANK(D57),C57,IF(AND(ISNUMBER(D57),D57&gt;=0),D57,"Pending")))</f>
        <v/>
      </c>
      <c r="F57" s="6">
        <f>IF(OR(G57="Catalog basis",G57="Override used"),B57*E57,"")</f>
        <v/>
      </c>
      <c r="G57" s="1">
        <f>IF(A57="",IF(OR(NOT(ISBLANK(B57)),NOT(ISBLANK(D57))),"Needs component",""),IF(COUNTIF(Components!$A$8:$A$107,A57)&lt;&gt;1,"Invalid component",IF(ISBLANK(B57),"Needs quantity",IF(NOT(ISNUMBER(B57)),"Invalid quantity",IF(OR(B57&lt;0,B57&lt;&gt;INT(B57)),"Invalid quantity",IF(NOT(ISNUMBER(E57)),"Needs heat input",IF(NOT(ISBLANK(D57)),"Override used","Catalog basis")))))))</f>
        <v/>
      </c>
      <c r="H57" s="1" t="n"/>
      <c r="I57" s="12">
        <f>IF(A57="","",IF(COUNTIF(Components!$A$8:$A$107,A57)&lt;&gt;1,"Select a unique catalog component",VLOOKUP(A57,Components!$A$8:$F$107,6,FALSE)))</f>
        <v/>
      </c>
      <c r="J57" s="1">
        <f>IF(OR(A57="",COUNTIF(Components!$A$8:$A$107,A57)&lt;&gt;1),"",IF(VLOOKUP(A57,Components!$A$8:$S$107,9,FALSE)="","",VLOOKUP(A57,Components!$A$8:$S$107,9,FALSE)))</f>
        <v/>
      </c>
      <c r="K57" s="14">
        <f>IF(OR(A57="",COUNTIF(Components!$A$8:$A$107,A57)&lt;&gt;1),"",IF(VLOOKUP(A57,Components!$A$8:$S$107,10,FALSE)="","",VLOOKUP(A57,Components!$A$8:$S$107,10,FALSE)))</f>
        <v/>
      </c>
      <c r="L57" s="14">
        <f>IF(OR(A57="",COUNTIF(Components!$A$8:$A$107,A57)&lt;&gt;1),"",IF(VLOOKUP(A57,Components!$A$8:$S$107,11,FALSE)="","",VLOOKUP(A57,Components!$A$8:$S$107,11,FALSE)))</f>
        <v/>
      </c>
      <c r="M57" s="14">
        <f>IF(OR(A57="",COUNTIF(Components!$A$8:$A$107,A57)&lt;&gt;1),"",IF(VLOOKUP(A57,Components!$A$8:$S$107,12,FALSE)="","",VLOOKUP(A57,Components!$A$8:$S$107,12,FALSE)))</f>
        <v/>
      </c>
      <c r="N57" s="15">
        <f>IF(OR(A57="",COUNTIF(Components!$A$8:$A$107,A57)&lt;&gt;1),"",IF(VLOOKUP(A57,Components!$A$8:$S$107,13,FALSE)="","",VLOOKUP(A57,Components!$A$8:$S$107,13,FALSE)))</f>
        <v/>
      </c>
      <c r="O57" s="15">
        <f>IF(OR(N57="",NOT(ISNUMBER(B57))),"",B57*N57)</f>
        <v/>
      </c>
      <c r="P57" s="1">
        <f>IF(OR(A57="",COUNTIF(Components!$A$8:$A$107,A57)&lt;&gt;1),"",IF(VLOOKUP(A57,Components!$A$8:$S$107,14,FALSE)="","",VLOOKUP(A57,Components!$A$8:$S$107,14,FALSE)))</f>
        <v/>
      </c>
      <c r="Q57" s="14">
        <f>IF(OR(A57="",COUNTIF(Components!$A$8:$A$107,A57)&lt;&gt;1),"",IF(VLOOKUP(A57,Components!$A$8:$S$107,15,FALSE)="","",VLOOKUP(A57,Components!$A$8:$S$107,15,FALSE)))</f>
        <v/>
      </c>
      <c r="R57" s="14">
        <f>IF(OR(A57="",COUNTIF(Components!$A$8:$A$107,A57)&lt;&gt;1),"",IF(VLOOKUP(A57,Components!$A$8:$S$107,16,FALSE)="","",VLOOKUP(A57,Components!$A$8:$S$107,16,FALSE)))</f>
        <v/>
      </c>
      <c r="S57" s="14">
        <f>IF(OR(A57="",COUNTIF(Components!$A$8:$A$107,A57)&lt;&gt;1),"",IF(VLOOKUP(A57,Components!$A$8:$S$107,17,FALSE)="","",VLOOKUP(A57,Components!$A$8:$S$107,17,FALSE)))</f>
        <v/>
      </c>
      <c r="T57" s="15">
        <f>IF(OR(A57="",COUNTIF(Components!$A$8:$A$107,A57)&lt;&gt;1),"",IF(VLOOKUP(A57,Components!$A$8:$S$107,18,FALSE)="","",VLOOKUP(A57,Components!$A$8:$S$107,18,FALSE)))</f>
        <v/>
      </c>
      <c r="U57" s="15">
        <f>IF(OR(T57="",NOT(ISNUMBER(B57))),"",B57*T57)</f>
        <v/>
      </c>
    </row>
    <row r="58" ht="48" customHeight="1">
      <c r="A58" s="4" t="n"/>
      <c r="B58" s="11" t="n"/>
      <c r="C58" s="6">
        <f>IF(A58="","",IF(COUNTIF(Components!$A$8:$A$107,A58)&lt;&gt;1,"Pending",VLOOKUP(A58,Components!$A$8:$F$107,5,FALSE)))</f>
        <v/>
      </c>
      <c r="D58" s="5" t="n"/>
      <c r="E58" s="6">
        <f>IF(A58="","",IF(ISBLANK(D58),C58,IF(AND(ISNUMBER(D58),D58&gt;=0),D58,"Pending")))</f>
        <v/>
      </c>
      <c r="F58" s="6">
        <f>IF(OR(G58="Catalog basis",G58="Override used"),B58*E58,"")</f>
        <v/>
      </c>
      <c r="G58" s="1">
        <f>IF(A58="",IF(OR(NOT(ISBLANK(B58)),NOT(ISBLANK(D58))),"Needs component",""),IF(COUNTIF(Components!$A$8:$A$107,A58)&lt;&gt;1,"Invalid component",IF(ISBLANK(B58),"Needs quantity",IF(NOT(ISNUMBER(B58)),"Invalid quantity",IF(OR(B58&lt;0,B58&lt;&gt;INT(B58)),"Invalid quantity",IF(NOT(ISNUMBER(E58)),"Needs heat input",IF(NOT(ISBLANK(D58)),"Override used","Catalog basis")))))))</f>
        <v/>
      </c>
      <c r="H58" s="1" t="n"/>
      <c r="I58" s="12">
        <f>IF(A58="","",IF(COUNTIF(Components!$A$8:$A$107,A58)&lt;&gt;1,"Select a unique catalog component",VLOOKUP(A58,Components!$A$8:$F$107,6,FALSE)))</f>
        <v/>
      </c>
      <c r="J58" s="1">
        <f>IF(OR(A58="",COUNTIF(Components!$A$8:$A$107,A58)&lt;&gt;1),"",IF(VLOOKUP(A58,Components!$A$8:$S$107,9,FALSE)="","",VLOOKUP(A58,Components!$A$8:$S$107,9,FALSE)))</f>
        <v/>
      </c>
      <c r="K58" s="14">
        <f>IF(OR(A58="",COUNTIF(Components!$A$8:$A$107,A58)&lt;&gt;1),"",IF(VLOOKUP(A58,Components!$A$8:$S$107,10,FALSE)="","",VLOOKUP(A58,Components!$A$8:$S$107,10,FALSE)))</f>
        <v/>
      </c>
      <c r="L58" s="14">
        <f>IF(OR(A58="",COUNTIF(Components!$A$8:$A$107,A58)&lt;&gt;1),"",IF(VLOOKUP(A58,Components!$A$8:$S$107,11,FALSE)="","",VLOOKUP(A58,Components!$A$8:$S$107,11,FALSE)))</f>
        <v/>
      </c>
      <c r="M58" s="14">
        <f>IF(OR(A58="",COUNTIF(Components!$A$8:$A$107,A58)&lt;&gt;1),"",IF(VLOOKUP(A58,Components!$A$8:$S$107,12,FALSE)="","",VLOOKUP(A58,Components!$A$8:$S$107,12,FALSE)))</f>
        <v/>
      </c>
      <c r="N58" s="15">
        <f>IF(OR(A58="",COUNTIF(Components!$A$8:$A$107,A58)&lt;&gt;1),"",IF(VLOOKUP(A58,Components!$A$8:$S$107,13,FALSE)="","",VLOOKUP(A58,Components!$A$8:$S$107,13,FALSE)))</f>
        <v/>
      </c>
      <c r="O58" s="15">
        <f>IF(OR(N58="",NOT(ISNUMBER(B58))),"",B58*N58)</f>
        <v/>
      </c>
      <c r="P58" s="1">
        <f>IF(OR(A58="",COUNTIF(Components!$A$8:$A$107,A58)&lt;&gt;1),"",IF(VLOOKUP(A58,Components!$A$8:$S$107,14,FALSE)="","",VLOOKUP(A58,Components!$A$8:$S$107,14,FALSE)))</f>
        <v/>
      </c>
      <c r="Q58" s="14">
        <f>IF(OR(A58="",COUNTIF(Components!$A$8:$A$107,A58)&lt;&gt;1),"",IF(VLOOKUP(A58,Components!$A$8:$S$107,15,FALSE)="","",VLOOKUP(A58,Components!$A$8:$S$107,15,FALSE)))</f>
        <v/>
      </c>
      <c r="R58" s="14">
        <f>IF(OR(A58="",COUNTIF(Components!$A$8:$A$107,A58)&lt;&gt;1),"",IF(VLOOKUP(A58,Components!$A$8:$S$107,16,FALSE)="","",VLOOKUP(A58,Components!$A$8:$S$107,16,FALSE)))</f>
        <v/>
      </c>
      <c r="S58" s="14">
        <f>IF(OR(A58="",COUNTIF(Components!$A$8:$A$107,A58)&lt;&gt;1),"",IF(VLOOKUP(A58,Components!$A$8:$S$107,17,FALSE)="","",VLOOKUP(A58,Components!$A$8:$S$107,17,FALSE)))</f>
        <v/>
      </c>
      <c r="T58" s="15">
        <f>IF(OR(A58="",COUNTIF(Components!$A$8:$A$107,A58)&lt;&gt;1),"",IF(VLOOKUP(A58,Components!$A$8:$S$107,18,FALSE)="","",VLOOKUP(A58,Components!$A$8:$S$107,18,FALSE)))</f>
        <v/>
      </c>
      <c r="U58" s="15">
        <f>IF(OR(T58="",NOT(ISNUMBER(B58))),"",B58*T58)</f>
        <v/>
      </c>
    </row>
    <row r="59" ht="48" customHeight="1">
      <c r="A59" s="4" t="n"/>
      <c r="B59" s="11" t="n"/>
      <c r="C59" s="6">
        <f>IF(A59="","",IF(COUNTIF(Components!$A$8:$A$107,A59)&lt;&gt;1,"Pending",VLOOKUP(A59,Components!$A$8:$F$107,5,FALSE)))</f>
        <v/>
      </c>
      <c r="D59" s="5" t="n"/>
      <c r="E59" s="6">
        <f>IF(A59="","",IF(ISBLANK(D59),C59,IF(AND(ISNUMBER(D59),D59&gt;=0),D59,"Pending")))</f>
        <v/>
      </c>
      <c r="F59" s="6">
        <f>IF(OR(G59="Catalog basis",G59="Override used"),B59*E59,"")</f>
        <v/>
      </c>
      <c r="G59" s="1">
        <f>IF(A59="",IF(OR(NOT(ISBLANK(B59)),NOT(ISBLANK(D59))),"Needs component",""),IF(COUNTIF(Components!$A$8:$A$107,A59)&lt;&gt;1,"Invalid component",IF(ISBLANK(B59),"Needs quantity",IF(NOT(ISNUMBER(B59)),"Invalid quantity",IF(OR(B59&lt;0,B59&lt;&gt;INT(B59)),"Invalid quantity",IF(NOT(ISNUMBER(E59)),"Needs heat input",IF(NOT(ISBLANK(D59)),"Override used","Catalog basis")))))))</f>
        <v/>
      </c>
      <c r="H59" s="1" t="n"/>
      <c r="I59" s="12">
        <f>IF(A59="","",IF(COUNTIF(Components!$A$8:$A$107,A59)&lt;&gt;1,"Select a unique catalog component",VLOOKUP(A59,Components!$A$8:$F$107,6,FALSE)))</f>
        <v/>
      </c>
      <c r="J59" s="1">
        <f>IF(OR(A59="",COUNTIF(Components!$A$8:$A$107,A59)&lt;&gt;1),"",IF(VLOOKUP(A59,Components!$A$8:$S$107,9,FALSE)="","",VLOOKUP(A59,Components!$A$8:$S$107,9,FALSE)))</f>
        <v/>
      </c>
      <c r="K59" s="14">
        <f>IF(OR(A59="",COUNTIF(Components!$A$8:$A$107,A59)&lt;&gt;1),"",IF(VLOOKUP(A59,Components!$A$8:$S$107,10,FALSE)="","",VLOOKUP(A59,Components!$A$8:$S$107,10,FALSE)))</f>
        <v/>
      </c>
      <c r="L59" s="14">
        <f>IF(OR(A59="",COUNTIF(Components!$A$8:$A$107,A59)&lt;&gt;1),"",IF(VLOOKUP(A59,Components!$A$8:$S$107,11,FALSE)="","",VLOOKUP(A59,Components!$A$8:$S$107,11,FALSE)))</f>
        <v/>
      </c>
      <c r="M59" s="14">
        <f>IF(OR(A59="",COUNTIF(Components!$A$8:$A$107,A59)&lt;&gt;1),"",IF(VLOOKUP(A59,Components!$A$8:$S$107,12,FALSE)="","",VLOOKUP(A59,Components!$A$8:$S$107,12,FALSE)))</f>
        <v/>
      </c>
      <c r="N59" s="15">
        <f>IF(OR(A59="",COUNTIF(Components!$A$8:$A$107,A59)&lt;&gt;1),"",IF(VLOOKUP(A59,Components!$A$8:$S$107,13,FALSE)="","",VLOOKUP(A59,Components!$A$8:$S$107,13,FALSE)))</f>
        <v/>
      </c>
      <c r="O59" s="15">
        <f>IF(OR(N59="",NOT(ISNUMBER(B59))),"",B59*N59)</f>
        <v/>
      </c>
      <c r="P59" s="1">
        <f>IF(OR(A59="",COUNTIF(Components!$A$8:$A$107,A59)&lt;&gt;1),"",IF(VLOOKUP(A59,Components!$A$8:$S$107,14,FALSE)="","",VLOOKUP(A59,Components!$A$8:$S$107,14,FALSE)))</f>
        <v/>
      </c>
      <c r="Q59" s="14">
        <f>IF(OR(A59="",COUNTIF(Components!$A$8:$A$107,A59)&lt;&gt;1),"",IF(VLOOKUP(A59,Components!$A$8:$S$107,15,FALSE)="","",VLOOKUP(A59,Components!$A$8:$S$107,15,FALSE)))</f>
        <v/>
      </c>
      <c r="R59" s="14">
        <f>IF(OR(A59="",COUNTIF(Components!$A$8:$A$107,A59)&lt;&gt;1),"",IF(VLOOKUP(A59,Components!$A$8:$S$107,16,FALSE)="","",VLOOKUP(A59,Components!$A$8:$S$107,16,FALSE)))</f>
        <v/>
      </c>
      <c r="S59" s="14">
        <f>IF(OR(A59="",COUNTIF(Components!$A$8:$A$107,A59)&lt;&gt;1),"",IF(VLOOKUP(A59,Components!$A$8:$S$107,17,FALSE)="","",VLOOKUP(A59,Components!$A$8:$S$107,17,FALSE)))</f>
        <v/>
      </c>
      <c r="T59" s="15">
        <f>IF(OR(A59="",COUNTIF(Components!$A$8:$A$107,A59)&lt;&gt;1),"",IF(VLOOKUP(A59,Components!$A$8:$S$107,18,FALSE)="","",VLOOKUP(A59,Components!$A$8:$S$107,18,FALSE)))</f>
        <v/>
      </c>
      <c r="U59" s="15">
        <f>IF(OR(T59="",NOT(ISNUMBER(B59))),"",B59*T59)</f>
        <v/>
      </c>
    </row>
    <row r="60" ht="48" customHeight="1">
      <c r="A60" s="4" t="n"/>
      <c r="B60" s="11" t="n"/>
      <c r="C60" s="6">
        <f>IF(A60="","",IF(COUNTIF(Components!$A$8:$A$107,A60)&lt;&gt;1,"Pending",VLOOKUP(A60,Components!$A$8:$F$107,5,FALSE)))</f>
        <v/>
      </c>
      <c r="D60" s="5" t="n"/>
      <c r="E60" s="6">
        <f>IF(A60="","",IF(ISBLANK(D60),C60,IF(AND(ISNUMBER(D60),D60&gt;=0),D60,"Pending")))</f>
        <v/>
      </c>
      <c r="F60" s="6">
        <f>IF(OR(G60="Catalog basis",G60="Override used"),B60*E60,"")</f>
        <v/>
      </c>
      <c r="G60" s="1">
        <f>IF(A60="",IF(OR(NOT(ISBLANK(B60)),NOT(ISBLANK(D60))),"Needs component",""),IF(COUNTIF(Components!$A$8:$A$107,A60)&lt;&gt;1,"Invalid component",IF(ISBLANK(B60),"Needs quantity",IF(NOT(ISNUMBER(B60)),"Invalid quantity",IF(OR(B60&lt;0,B60&lt;&gt;INT(B60)),"Invalid quantity",IF(NOT(ISNUMBER(E60)),"Needs heat input",IF(NOT(ISBLANK(D60)),"Override used","Catalog basis")))))))</f>
        <v/>
      </c>
      <c r="H60" s="1" t="n"/>
      <c r="I60" s="12">
        <f>IF(A60="","",IF(COUNTIF(Components!$A$8:$A$107,A60)&lt;&gt;1,"Select a unique catalog component",VLOOKUP(A60,Components!$A$8:$F$107,6,FALSE)))</f>
        <v/>
      </c>
      <c r="J60" s="1">
        <f>IF(OR(A60="",COUNTIF(Components!$A$8:$A$107,A60)&lt;&gt;1),"",IF(VLOOKUP(A60,Components!$A$8:$S$107,9,FALSE)="","",VLOOKUP(A60,Components!$A$8:$S$107,9,FALSE)))</f>
        <v/>
      </c>
      <c r="K60" s="14">
        <f>IF(OR(A60="",COUNTIF(Components!$A$8:$A$107,A60)&lt;&gt;1),"",IF(VLOOKUP(A60,Components!$A$8:$S$107,10,FALSE)="","",VLOOKUP(A60,Components!$A$8:$S$107,10,FALSE)))</f>
        <v/>
      </c>
      <c r="L60" s="14">
        <f>IF(OR(A60="",COUNTIF(Components!$A$8:$A$107,A60)&lt;&gt;1),"",IF(VLOOKUP(A60,Components!$A$8:$S$107,11,FALSE)="","",VLOOKUP(A60,Components!$A$8:$S$107,11,FALSE)))</f>
        <v/>
      </c>
      <c r="M60" s="14">
        <f>IF(OR(A60="",COUNTIF(Components!$A$8:$A$107,A60)&lt;&gt;1),"",IF(VLOOKUP(A60,Components!$A$8:$S$107,12,FALSE)="","",VLOOKUP(A60,Components!$A$8:$S$107,12,FALSE)))</f>
        <v/>
      </c>
      <c r="N60" s="15">
        <f>IF(OR(A60="",COUNTIF(Components!$A$8:$A$107,A60)&lt;&gt;1),"",IF(VLOOKUP(A60,Components!$A$8:$S$107,13,FALSE)="","",VLOOKUP(A60,Components!$A$8:$S$107,13,FALSE)))</f>
        <v/>
      </c>
      <c r="O60" s="15">
        <f>IF(OR(N60="",NOT(ISNUMBER(B60))),"",B60*N60)</f>
        <v/>
      </c>
      <c r="P60" s="1">
        <f>IF(OR(A60="",COUNTIF(Components!$A$8:$A$107,A60)&lt;&gt;1),"",IF(VLOOKUP(A60,Components!$A$8:$S$107,14,FALSE)="","",VLOOKUP(A60,Components!$A$8:$S$107,14,FALSE)))</f>
        <v/>
      </c>
      <c r="Q60" s="14">
        <f>IF(OR(A60="",COUNTIF(Components!$A$8:$A$107,A60)&lt;&gt;1),"",IF(VLOOKUP(A60,Components!$A$8:$S$107,15,FALSE)="","",VLOOKUP(A60,Components!$A$8:$S$107,15,FALSE)))</f>
        <v/>
      </c>
      <c r="R60" s="14">
        <f>IF(OR(A60="",COUNTIF(Components!$A$8:$A$107,A60)&lt;&gt;1),"",IF(VLOOKUP(A60,Components!$A$8:$S$107,16,FALSE)="","",VLOOKUP(A60,Components!$A$8:$S$107,16,FALSE)))</f>
        <v/>
      </c>
      <c r="S60" s="14">
        <f>IF(OR(A60="",COUNTIF(Components!$A$8:$A$107,A60)&lt;&gt;1),"",IF(VLOOKUP(A60,Components!$A$8:$S$107,17,FALSE)="","",VLOOKUP(A60,Components!$A$8:$S$107,17,FALSE)))</f>
        <v/>
      </c>
      <c r="T60" s="15">
        <f>IF(OR(A60="",COUNTIF(Components!$A$8:$A$107,A60)&lt;&gt;1),"",IF(VLOOKUP(A60,Components!$A$8:$S$107,18,FALSE)="","",VLOOKUP(A60,Components!$A$8:$S$107,18,FALSE)))</f>
        <v/>
      </c>
      <c r="U60" s="15">
        <f>IF(OR(T60="",NOT(ISNUMBER(B60))),"",B60*T60)</f>
        <v/>
      </c>
    </row>
    <row r="61" ht="48" customHeight="1">
      <c r="A61" s="4" t="n"/>
      <c r="B61" s="11" t="n"/>
      <c r="C61" s="6">
        <f>IF(A61="","",IF(COUNTIF(Components!$A$8:$A$107,A61)&lt;&gt;1,"Pending",VLOOKUP(A61,Components!$A$8:$F$107,5,FALSE)))</f>
        <v/>
      </c>
      <c r="D61" s="5" t="n"/>
      <c r="E61" s="6">
        <f>IF(A61="","",IF(ISBLANK(D61),C61,IF(AND(ISNUMBER(D61),D61&gt;=0),D61,"Pending")))</f>
        <v/>
      </c>
      <c r="F61" s="6">
        <f>IF(OR(G61="Catalog basis",G61="Override used"),B61*E61,"")</f>
        <v/>
      </c>
      <c r="G61" s="1">
        <f>IF(A61="",IF(OR(NOT(ISBLANK(B61)),NOT(ISBLANK(D61))),"Needs component",""),IF(COUNTIF(Components!$A$8:$A$107,A61)&lt;&gt;1,"Invalid component",IF(ISBLANK(B61),"Needs quantity",IF(NOT(ISNUMBER(B61)),"Invalid quantity",IF(OR(B61&lt;0,B61&lt;&gt;INT(B61)),"Invalid quantity",IF(NOT(ISNUMBER(E61)),"Needs heat input",IF(NOT(ISBLANK(D61)),"Override used","Catalog basis")))))))</f>
        <v/>
      </c>
      <c r="H61" s="1" t="n"/>
      <c r="I61" s="12">
        <f>IF(A61="","",IF(COUNTIF(Components!$A$8:$A$107,A61)&lt;&gt;1,"Select a unique catalog component",VLOOKUP(A61,Components!$A$8:$F$107,6,FALSE)))</f>
        <v/>
      </c>
      <c r="J61" s="1">
        <f>IF(OR(A61="",COUNTIF(Components!$A$8:$A$107,A61)&lt;&gt;1),"",IF(VLOOKUP(A61,Components!$A$8:$S$107,9,FALSE)="","",VLOOKUP(A61,Components!$A$8:$S$107,9,FALSE)))</f>
        <v/>
      </c>
      <c r="K61" s="14">
        <f>IF(OR(A61="",COUNTIF(Components!$A$8:$A$107,A61)&lt;&gt;1),"",IF(VLOOKUP(A61,Components!$A$8:$S$107,10,FALSE)="","",VLOOKUP(A61,Components!$A$8:$S$107,10,FALSE)))</f>
        <v/>
      </c>
      <c r="L61" s="14">
        <f>IF(OR(A61="",COUNTIF(Components!$A$8:$A$107,A61)&lt;&gt;1),"",IF(VLOOKUP(A61,Components!$A$8:$S$107,11,FALSE)="","",VLOOKUP(A61,Components!$A$8:$S$107,11,FALSE)))</f>
        <v/>
      </c>
      <c r="M61" s="14">
        <f>IF(OR(A61="",COUNTIF(Components!$A$8:$A$107,A61)&lt;&gt;1),"",IF(VLOOKUP(A61,Components!$A$8:$S$107,12,FALSE)="","",VLOOKUP(A61,Components!$A$8:$S$107,12,FALSE)))</f>
        <v/>
      </c>
      <c r="N61" s="15">
        <f>IF(OR(A61="",COUNTIF(Components!$A$8:$A$107,A61)&lt;&gt;1),"",IF(VLOOKUP(A61,Components!$A$8:$S$107,13,FALSE)="","",VLOOKUP(A61,Components!$A$8:$S$107,13,FALSE)))</f>
        <v/>
      </c>
      <c r="O61" s="15">
        <f>IF(OR(N61="",NOT(ISNUMBER(B61))),"",B61*N61)</f>
        <v/>
      </c>
      <c r="P61" s="1">
        <f>IF(OR(A61="",COUNTIF(Components!$A$8:$A$107,A61)&lt;&gt;1),"",IF(VLOOKUP(A61,Components!$A$8:$S$107,14,FALSE)="","",VLOOKUP(A61,Components!$A$8:$S$107,14,FALSE)))</f>
        <v/>
      </c>
      <c r="Q61" s="14">
        <f>IF(OR(A61="",COUNTIF(Components!$A$8:$A$107,A61)&lt;&gt;1),"",IF(VLOOKUP(A61,Components!$A$8:$S$107,15,FALSE)="","",VLOOKUP(A61,Components!$A$8:$S$107,15,FALSE)))</f>
        <v/>
      </c>
      <c r="R61" s="14">
        <f>IF(OR(A61="",COUNTIF(Components!$A$8:$A$107,A61)&lt;&gt;1),"",IF(VLOOKUP(A61,Components!$A$8:$S$107,16,FALSE)="","",VLOOKUP(A61,Components!$A$8:$S$107,16,FALSE)))</f>
        <v/>
      </c>
      <c r="S61" s="14">
        <f>IF(OR(A61="",COUNTIF(Components!$A$8:$A$107,A61)&lt;&gt;1),"",IF(VLOOKUP(A61,Components!$A$8:$S$107,17,FALSE)="","",VLOOKUP(A61,Components!$A$8:$S$107,17,FALSE)))</f>
        <v/>
      </c>
      <c r="T61" s="15">
        <f>IF(OR(A61="",COUNTIF(Components!$A$8:$A$107,A61)&lt;&gt;1),"",IF(VLOOKUP(A61,Components!$A$8:$S$107,18,FALSE)="","",VLOOKUP(A61,Components!$A$8:$S$107,18,FALSE)))</f>
        <v/>
      </c>
      <c r="U61" s="15">
        <f>IF(OR(T61="",NOT(ISNUMBER(B61))),"",B61*T61)</f>
        <v/>
      </c>
    </row>
    <row r="62" ht="48" customHeight="1">
      <c r="A62" s="4" t="n"/>
      <c r="B62" s="11" t="n"/>
      <c r="C62" s="6">
        <f>IF(A62="","",IF(COUNTIF(Components!$A$8:$A$107,A62)&lt;&gt;1,"Pending",VLOOKUP(A62,Components!$A$8:$F$107,5,FALSE)))</f>
        <v/>
      </c>
      <c r="D62" s="5" t="n"/>
      <c r="E62" s="6">
        <f>IF(A62="","",IF(ISBLANK(D62),C62,IF(AND(ISNUMBER(D62),D62&gt;=0),D62,"Pending")))</f>
        <v/>
      </c>
      <c r="F62" s="6">
        <f>IF(OR(G62="Catalog basis",G62="Override used"),B62*E62,"")</f>
        <v/>
      </c>
      <c r="G62" s="1">
        <f>IF(A62="",IF(OR(NOT(ISBLANK(B62)),NOT(ISBLANK(D62))),"Needs component",""),IF(COUNTIF(Components!$A$8:$A$107,A62)&lt;&gt;1,"Invalid component",IF(ISBLANK(B62),"Needs quantity",IF(NOT(ISNUMBER(B62)),"Invalid quantity",IF(OR(B62&lt;0,B62&lt;&gt;INT(B62)),"Invalid quantity",IF(NOT(ISNUMBER(E62)),"Needs heat input",IF(NOT(ISBLANK(D62)),"Override used","Catalog basis")))))))</f>
        <v/>
      </c>
      <c r="H62" s="1" t="n"/>
      <c r="I62" s="12">
        <f>IF(A62="","",IF(COUNTIF(Components!$A$8:$A$107,A62)&lt;&gt;1,"Select a unique catalog component",VLOOKUP(A62,Components!$A$8:$F$107,6,FALSE)))</f>
        <v/>
      </c>
      <c r="J62" s="1">
        <f>IF(OR(A62="",COUNTIF(Components!$A$8:$A$107,A62)&lt;&gt;1),"",IF(VLOOKUP(A62,Components!$A$8:$S$107,9,FALSE)="","",VLOOKUP(A62,Components!$A$8:$S$107,9,FALSE)))</f>
        <v/>
      </c>
      <c r="K62" s="14">
        <f>IF(OR(A62="",COUNTIF(Components!$A$8:$A$107,A62)&lt;&gt;1),"",IF(VLOOKUP(A62,Components!$A$8:$S$107,10,FALSE)="","",VLOOKUP(A62,Components!$A$8:$S$107,10,FALSE)))</f>
        <v/>
      </c>
      <c r="L62" s="14">
        <f>IF(OR(A62="",COUNTIF(Components!$A$8:$A$107,A62)&lt;&gt;1),"",IF(VLOOKUP(A62,Components!$A$8:$S$107,11,FALSE)="","",VLOOKUP(A62,Components!$A$8:$S$107,11,FALSE)))</f>
        <v/>
      </c>
      <c r="M62" s="14">
        <f>IF(OR(A62="",COUNTIF(Components!$A$8:$A$107,A62)&lt;&gt;1),"",IF(VLOOKUP(A62,Components!$A$8:$S$107,12,FALSE)="","",VLOOKUP(A62,Components!$A$8:$S$107,12,FALSE)))</f>
        <v/>
      </c>
      <c r="N62" s="15">
        <f>IF(OR(A62="",COUNTIF(Components!$A$8:$A$107,A62)&lt;&gt;1),"",IF(VLOOKUP(A62,Components!$A$8:$S$107,13,FALSE)="","",VLOOKUP(A62,Components!$A$8:$S$107,13,FALSE)))</f>
        <v/>
      </c>
      <c r="O62" s="15">
        <f>IF(OR(N62="",NOT(ISNUMBER(B62))),"",B62*N62)</f>
        <v/>
      </c>
      <c r="P62" s="1">
        <f>IF(OR(A62="",COUNTIF(Components!$A$8:$A$107,A62)&lt;&gt;1),"",IF(VLOOKUP(A62,Components!$A$8:$S$107,14,FALSE)="","",VLOOKUP(A62,Components!$A$8:$S$107,14,FALSE)))</f>
        <v/>
      </c>
      <c r="Q62" s="14">
        <f>IF(OR(A62="",COUNTIF(Components!$A$8:$A$107,A62)&lt;&gt;1),"",IF(VLOOKUP(A62,Components!$A$8:$S$107,15,FALSE)="","",VLOOKUP(A62,Components!$A$8:$S$107,15,FALSE)))</f>
        <v/>
      </c>
      <c r="R62" s="14">
        <f>IF(OR(A62="",COUNTIF(Components!$A$8:$A$107,A62)&lt;&gt;1),"",IF(VLOOKUP(A62,Components!$A$8:$S$107,16,FALSE)="","",VLOOKUP(A62,Components!$A$8:$S$107,16,FALSE)))</f>
        <v/>
      </c>
      <c r="S62" s="14">
        <f>IF(OR(A62="",COUNTIF(Components!$A$8:$A$107,A62)&lt;&gt;1),"",IF(VLOOKUP(A62,Components!$A$8:$S$107,17,FALSE)="","",VLOOKUP(A62,Components!$A$8:$S$107,17,FALSE)))</f>
        <v/>
      </c>
      <c r="T62" s="15">
        <f>IF(OR(A62="",COUNTIF(Components!$A$8:$A$107,A62)&lt;&gt;1),"",IF(VLOOKUP(A62,Components!$A$8:$S$107,18,FALSE)="","",VLOOKUP(A62,Components!$A$8:$S$107,18,FALSE)))</f>
        <v/>
      </c>
      <c r="U62" s="15">
        <f>IF(OR(T62="",NOT(ISNUMBER(B62))),"",B62*T62)</f>
        <v/>
      </c>
    </row>
    <row r="63" ht="48" customHeight="1">
      <c r="A63" s="4" t="n"/>
      <c r="B63" s="11" t="n"/>
      <c r="C63" s="6">
        <f>IF(A63="","",IF(COUNTIF(Components!$A$8:$A$107,A63)&lt;&gt;1,"Pending",VLOOKUP(A63,Components!$A$8:$F$107,5,FALSE)))</f>
        <v/>
      </c>
      <c r="D63" s="5" t="n"/>
      <c r="E63" s="6">
        <f>IF(A63="","",IF(ISBLANK(D63),C63,IF(AND(ISNUMBER(D63),D63&gt;=0),D63,"Pending")))</f>
        <v/>
      </c>
      <c r="F63" s="6">
        <f>IF(OR(G63="Catalog basis",G63="Override used"),B63*E63,"")</f>
        <v/>
      </c>
      <c r="G63" s="1">
        <f>IF(A63="",IF(OR(NOT(ISBLANK(B63)),NOT(ISBLANK(D63))),"Needs component",""),IF(COUNTIF(Components!$A$8:$A$107,A63)&lt;&gt;1,"Invalid component",IF(ISBLANK(B63),"Needs quantity",IF(NOT(ISNUMBER(B63)),"Invalid quantity",IF(OR(B63&lt;0,B63&lt;&gt;INT(B63)),"Invalid quantity",IF(NOT(ISNUMBER(E63)),"Needs heat input",IF(NOT(ISBLANK(D63)),"Override used","Catalog basis")))))))</f>
        <v/>
      </c>
      <c r="H63" s="1" t="n"/>
      <c r="I63" s="12">
        <f>IF(A63="","",IF(COUNTIF(Components!$A$8:$A$107,A63)&lt;&gt;1,"Select a unique catalog component",VLOOKUP(A63,Components!$A$8:$F$107,6,FALSE)))</f>
        <v/>
      </c>
      <c r="J63" s="1">
        <f>IF(OR(A63="",COUNTIF(Components!$A$8:$A$107,A63)&lt;&gt;1),"",IF(VLOOKUP(A63,Components!$A$8:$S$107,9,FALSE)="","",VLOOKUP(A63,Components!$A$8:$S$107,9,FALSE)))</f>
        <v/>
      </c>
      <c r="K63" s="14">
        <f>IF(OR(A63="",COUNTIF(Components!$A$8:$A$107,A63)&lt;&gt;1),"",IF(VLOOKUP(A63,Components!$A$8:$S$107,10,FALSE)="","",VLOOKUP(A63,Components!$A$8:$S$107,10,FALSE)))</f>
        <v/>
      </c>
      <c r="L63" s="14">
        <f>IF(OR(A63="",COUNTIF(Components!$A$8:$A$107,A63)&lt;&gt;1),"",IF(VLOOKUP(A63,Components!$A$8:$S$107,11,FALSE)="","",VLOOKUP(A63,Components!$A$8:$S$107,11,FALSE)))</f>
        <v/>
      </c>
      <c r="M63" s="14">
        <f>IF(OR(A63="",COUNTIF(Components!$A$8:$A$107,A63)&lt;&gt;1),"",IF(VLOOKUP(A63,Components!$A$8:$S$107,12,FALSE)="","",VLOOKUP(A63,Components!$A$8:$S$107,12,FALSE)))</f>
        <v/>
      </c>
      <c r="N63" s="15">
        <f>IF(OR(A63="",COUNTIF(Components!$A$8:$A$107,A63)&lt;&gt;1),"",IF(VLOOKUP(A63,Components!$A$8:$S$107,13,FALSE)="","",VLOOKUP(A63,Components!$A$8:$S$107,13,FALSE)))</f>
        <v/>
      </c>
      <c r="O63" s="15">
        <f>IF(OR(N63="",NOT(ISNUMBER(B63))),"",B63*N63)</f>
        <v/>
      </c>
      <c r="P63" s="1">
        <f>IF(OR(A63="",COUNTIF(Components!$A$8:$A$107,A63)&lt;&gt;1),"",IF(VLOOKUP(A63,Components!$A$8:$S$107,14,FALSE)="","",VLOOKUP(A63,Components!$A$8:$S$107,14,FALSE)))</f>
        <v/>
      </c>
      <c r="Q63" s="14">
        <f>IF(OR(A63="",COUNTIF(Components!$A$8:$A$107,A63)&lt;&gt;1),"",IF(VLOOKUP(A63,Components!$A$8:$S$107,15,FALSE)="","",VLOOKUP(A63,Components!$A$8:$S$107,15,FALSE)))</f>
        <v/>
      </c>
      <c r="R63" s="14">
        <f>IF(OR(A63="",COUNTIF(Components!$A$8:$A$107,A63)&lt;&gt;1),"",IF(VLOOKUP(A63,Components!$A$8:$S$107,16,FALSE)="","",VLOOKUP(A63,Components!$A$8:$S$107,16,FALSE)))</f>
        <v/>
      </c>
      <c r="S63" s="14">
        <f>IF(OR(A63="",COUNTIF(Components!$A$8:$A$107,A63)&lt;&gt;1),"",IF(VLOOKUP(A63,Components!$A$8:$S$107,17,FALSE)="","",VLOOKUP(A63,Components!$A$8:$S$107,17,FALSE)))</f>
        <v/>
      </c>
      <c r="T63" s="15">
        <f>IF(OR(A63="",COUNTIF(Components!$A$8:$A$107,A63)&lt;&gt;1),"",IF(VLOOKUP(A63,Components!$A$8:$S$107,18,FALSE)="","",VLOOKUP(A63,Components!$A$8:$S$107,18,FALSE)))</f>
        <v/>
      </c>
      <c r="U63" s="15">
        <f>IF(OR(T63="",NOT(ISNUMBER(B63))),"",B63*T63)</f>
        <v/>
      </c>
    </row>
    <row r="64" ht="48" customHeight="1">
      <c r="A64" s="4" t="n"/>
      <c r="B64" s="11" t="n"/>
      <c r="C64" s="6">
        <f>IF(A64="","",IF(COUNTIF(Components!$A$8:$A$107,A64)&lt;&gt;1,"Pending",VLOOKUP(A64,Components!$A$8:$F$107,5,FALSE)))</f>
        <v/>
      </c>
      <c r="D64" s="5" t="n"/>
      <c r="E64" s="6">
        <f>IF(A64="","",IF(ISBLANK(D64),C64,IF(AND(ISNUMBER(D64),D64&gt;=0),D64,"Pending")))</f>
        <v/>
      </c>
      <c r="F64" s="6">
        <f>IF(OR(G64="Catalog basis",G64="Override used"),B64*E64,"")</f>
        <v/>
      </c>
      <c r="G64" s="1">
        <f>IF(A64="",IF(OR(NOT(ISBLANK(B64)),NOT(ISBLANK(D64))),"Needs component",""),IF(COUNTIF(Components!$A$8:$A$107,A64)&lt;&gt;1,"Invalid component",IF(ISBLANK(B64),"Needs quantity",IF(NOT(ISNUMBER(B64)),"Invalid quantity",IF(OR(B64&lt;0,B64&lt;&gt;INT(B64)),"Invalid quantity",IF(NOT(ISNUMBER(E64)),"Needs heat input",IF(NOT(ISBLANK(D64)),"Override used","Catalog basis")))))))</f>
        <v/>
      </c>
      <c r="H64" s="1" t="n"/>
      <c r="I64" s="12">
        <f>IF(A64="","",IF(COUNTIF(Components!$A$8:$A$107,A64)&lt;&gt;1,"Select a unique catalog component",VLOOKUP(A64,Components!$A$8:$F$107,6,FALSE)))</f>
        <v/>
      </c>
      <c r="J64" s="1">
        <f>IF(OR(A64="",COUNTIF(Components!$A$8:$A$107,A64)&lt;&gt;1),"",IF(VLOOKUP(A64,Components!$A$8:$S$107,9,FALSE)="","",VLOOKUP(A64,Components!$A$8:$S$107,9,FALSE)))</f>
        <v/>
      </c>
      <c r="K64" s="14">
        <f>IF(OR(A64="",COUNTIF(Components!$A$8:$A$107,A64)&lt;&gt;1),"",IF(VLOOKUP(A64,Components!$A$8:$S$107,10,FALSE)="","",VLOOKUP(A64,Components!$A$8:$S$107,10,FALSE)))</f>
        <v/>
      </c>
      <c r="L64" s="14">
        <f>IF(OR(A64="",COUNTIF(Components!$A$8:$A$107,A64)&lt;&gt;1),"",IF(VLOOKUP(A64,Components!$A$8:$S$107,11,FALSE)="","",VLOOKUP(A64,Components!$A$8:$S$107,11,FALSE)))</f>
        <v/>
      </c>
      <c r="M64" s="14">
        <f>IF(OR(A64="",COUNTIF(Components!$A$8:$A$107,A64)&lt;&gt;1),"",IF(VLOOKUP(A64,Components!$A$8:$S$107,12,FALSE)="","",VLOOKUP(A64,Components!$A$8:$S$107,12,FALSE)))</f>
        <v/>
      </c>
      <c r="N64" s="15">
        <f>IF(OR(A64="",COUNTIF(Components!$A$8:$A$107,A64)&lt;&gt;1),"",IF(VLOOKUP(A64,Components!$A$8:$S$107,13,FALSE)="","",VLOOKUP(A64,Components!$A$8:$S$107,13,FALSE)))</f>
        <v/>
      </c>
      <c r="O64" s="15">
        <f>IF(OR(N64="",NOT(ISNUMBER(B64))),"",B64*N64)</f>
        <v/>
      </c>
      <c r="P64" s="1">
        <f>IF(OR(A64="",COUNTIF(Components!$A$8:$A$107,A64)&lt;&gt;1),"",IF(VLOOKUP(A64,Components!$A$8:$S$107,14,FALSE)="","",VLOOKUP(A64,Components!$A$8:$S$107,14,FALSE)))</f>
        <v/>
      </c>
      <c r="Q64" s="14">
        <f>IF(OR(A64="",COUNTIF(Components!$A$8:$A$107,A64)&lt;&gt;1),"",IF(VLOOKUP(A64,Components!$A$8:$S$107,15,FALSE)="","",VLOOKUP(A64,Components!$A$8:$S$107,15,FALSE)))</f>
        <v/>
      </c>
      <c r="R64" s="14">
        <f>IF(OR(A64="",COUNTIF(Components!$A$8:$A$107,A64)&lt;&gt;1),"",IF(VLOOKUP(A64,Components!$A$8:$S$107,16,FALSE)="","",VLOOKUP(A64,Components!$A$8:$S$107,16,FALSE)))</f>
        <v/>
      </c>
      <c r="S64" s="14">
        <f>IF(OR(A64="",COUNTIF(Components!$A$8:$A$107,A64)&lt;&gt;1),"",IF(VLOOKUP(A64,Components!$A$8:$S$107,17,FALSE)="","",VLOOKUP(A64,Components!$A$8:$S$107,17,FALSE)))</f>
        <v/>
      </c>
      <c r="T64" s="15">
        <f>IF(OR(A64="",COUNTIF(Components!$A$8:$A$107,A64)&lt;&gt;1),"",IF(VLOOKUP(A64,Components!$A$8:$S$107,18,FALSE)="","",VLOOKUP(A64,Components!$A$8:$S$107,18,FALSE)))</f>
        <v/>
      </c>
      <c r="U64" s="15">
        <f>IF(OR(T64="",NOT(ISNUMBER(B64))),"",B64*T64)</f>
        <v/>
      </c>
    </row>
    <row r="65" ht="48" customHeight="1">
      <c r="A65" s="4" t="n"/>
      <c r="B65" s="11" t="n"/>
      <c r="C65" s="6">
        <f>IF(A65="","",IF(COUNTIF(Components!$A$8:$A$107,A65)&lt;&gt;1,"Pending",VLOOKUP(A65,Components!$A$8:$F$107,5,FALSE)))</f>
        <v/>
      </c>
      <c r="D65" s="5" t="n"/>
      <c r="E65" s="6">
        <f>IF(A65="","",IF(ISBLANK(D65),C65,IF(AND(ISNUMBER(D65),D65&gt;=0),D65,"Pending")))</f>
        <v/>
      </c>
      <c r="F65" s="6">
        <f>IF(OR(G65="Catalog basis",G65="Override used"),B65*E65,"")</f>
        <v/>
      </c>
      <c r="G65" s="1">
        <f>IF(A65="",IF(OR(NOT(ISBLANK(B65)),NOT(ISBLANK(D65))),"Needs component",""),IF(COUNTIF(Components!$A$8:$A$107,A65)&lt;&gt;1,"Invalid component",IF(ISBLANK(B65),"Needs quantity",IF(NOT(ISNUMBER(B65)),"Invalid quantity",IF(OR(B65&lt;0,B65&lt;&gt;INT(B65)),"Invalid quantity",IF(NOT(ISNUMBER(E65)),"Needs heat input",IF(NOT(ISBLANK(D65)),"Override used","Catalog basis")))))))</f>
        <v/>
      </c>
      <c r="H65" s="1" t="n"/>
      <c r="I65" s="12">
        <f>IF(A65="","",IF(COUNTIF(Components!$A$8:$A$107,A65)&lt;&gt;1,"Select a unique catalog component",VLOOKUP(A65,Components!$A$8:$F$107,6,FALSE)))</f>
        <v/>
      </c>
      <c r="J65" s="1">
        <f>IF(OR(A65="",COUNTIF(Components!$A$8:$A$107,A65)&lt;&gt;1),"",IF(VLOOKUP(A65,Components!$A$8:$S$107,9,FALSE)="","",VLOOKUP(A65,Components!$A$8:$S$107,9,FALSE)))</f>
        <v/>
      </c>
      <c r="K65" s="14">
        <f>IF(OR(A65="",COUNTIF(Components!$A$8:$A$107,A65)&lt;&gt;1),"",IF(VLOOKUP(A65,Components!$A$8:$S$107,10,FALSE)="","",VLOOKUP(A65,Components!$A$8:$S$107,10,FALSE)))</f>
        <v/>
      </c>
      <c r="L65" s="14">
        <f>IF(OR(A65="",COUNTIF(Components!$A$8:$A$107,A65)&lt;&gt;1),"",IF(VLOOKUP(A65,Components!$A$8:$S$107,11,FALSE)="","",VLOOKUP(A65,Components!$A$8:$S$107,11,FALSE)))</f>
        <v/>
      </c>
      <c r="M65" s="14">
        <f>IF(OR(A65="",COUNTIF(Components!$A$8:$A$107,A65)&lt;&gt;1),"",IF(VLOOKUP(A65,Components!$A$8:$S$107,12,FALSE)="","",VLOOKUP(A65,Components!$A$8:$S$107,12,FALSE)))</f>
        <v/>
      </c>
      <c r="N65" s="15">
        <f>IF(OR(A65="",COUNTIF(Components!$A$8:$A$107,A65)&lt;&gt;1),"",IF(VLOOKUP(A65,Components!$A$8:$S$107,13,FALSE)="","",VLOOKUP(A65,Components!$A$8:$S$107,13,FALSE)))</f>
        <v/>
      </c>
      <c r="O65" s="15">
        <f>IF(OR(N65="",NOT(ISNUMBER(B65))),"",B65*N65)</f>
        <v/>
      </c>
      <c r="P65" s="1">
        <f>IF(OR(A65="",COUNTIF(Components!$A$8:$A$107,A65)&lt;&gt;1),"",IF(VLOOKUP(A65,Components!$A$8:$S$107,14,FALSE)="","",VLOOKUP(A65,Components!$A$8:$S$107,14,FALSE)))</f>
        <v/>
      </c>
      <c r="Q65" s="14">
        <f>IF(OR(A65="",COUNTIF(Components!$A$8:$A$107,A65)&lt;&gt;1),"",IF(VLOOKUP(A65,Components!$A$8:$S$107,15,FALSE)="","",VLOOKUP(A65,Components!$A$8:$S$107,15,FALSE)))</f>
        <v/>
      </c>
      <c r="R65" s="14">
        <f>IF(OR(A65="",COUNTIF(Components!$A$8:$A$107,A65)&lt;&gt;1),"",IF(VLOOKUP(A65,Components!$A$8:$S$107,16,FALSE)="","",VLOOKUP(A65,Components!$A$8:$S$107,16,FALSE)))</f>
        <v/>
      </c>
      <c r="S65" s="14">
        <f>IF(OR(A65="",COUNTIF(Components!$A$8:$A$107,A65)&lt;&gt;1),"",IF(VLOOKUP(A65,Components!$A$8:$S$107,17,FALSE)="","",VLOOKUP(A65,Components!$A$8:$S$107,17,FALSE)))</f>
        <v/>
      </c>
      <c r="T65" s="15">
        <f>IF(OR(A65="",COUNTIF(Components!$A$8:$A$107,A65)&lt;&gt;1),"",IF(VLOOKUP(A65,Components!$A$8:$S$107,18,FALSE)="","",VLOOKUP(A65,Components!$A$8:$S$107,18,FALSE)))</f>
        <v/>
      </c>
      <c r="U65" s="15">
        <f>IF(OR(T65="",NOT(ISNUMBER(B65))),"",B65*T65)</f>
        <v/>
      </c>
    </row>
    <row r="66" ht="48" customHeight="1">
      <c r="A66" s="4" t="n"/>
      <c r="B66" s="11" t="n"/>
      <c r="C66" s="6">
        <f>IF(A66="","",IF(COUNTIF(Components!$A$8:$A$107,A66)&lt;&gt;1,"Pending",VLOOKUP(A66,Components!$A$8:$F$107,5,FALSE)))</f>
        <v/>
      </c>
      <c r="D66" s="5" t="n"/>
      <c r="E66" s="6">
        <f>IF(A66="","",IF(ISBLANK(D66),C66,IF(AND(ISNUMBER(D66),D66&gt;=0),D66,"Pending")))</f>
        <v/>
      </c>
      <c r="F66" s="6">
        <f>IF(OR(G66="Catalog basis",G66="Override used"),B66*E66,"")</f>
        <v/>
      </c>
      <c r="G66" s="1">
        <f>IF(A66="",IF(OR(NOT(ISBLANK(B66)),NOT(ISBLANK(D66))),"Needs component",""),IF(COUNTIF(Components!$A$8:$A$107,A66)&lt;&gt;1,"Invalid component",IF(ISBLANK(B66),"Needs quantity",IF(NOT(ISNUMBER(B66)),"Invalid quantity",IF(OR(B66&lt;0,B66&lt;&gt;INT(B66)),"Invalid quantity",IF(NOT(ISNUMBER(E66)),"Needs heat input",IF(NOT(ISBLANK(D66)),"Override used","Catalog basis")))))))</f>
        <v/>
      </c>
      <c r="H66" s="1" t="n"/>
      <c r="I66" s="12">
        <f>IF(A66="","",IF(COUNTIF(Components!$A$8:$A$107,A66)&lt;&gt;1,"Select a unique catalog component",VLOOKUP(A66,Components!$A$8:$F$107,6,FALSE)))</f>
        <v/>
      </c>
      <c r="J66" s="1">
        <f>IF(OR(A66="",COUNTIF(Components!$A$8:$A$107,A66)&lt;&gt;1),"",IF(VLOOKUP(A66,Components!$A$8:$S$107,9,FALSE)="","",VLOOKUP(A66,Components!$A$8:$S$107,9,FALSE)))</f>
        <v/>
      </c>
      <c r="K66" s="14">
        <f>IF(OR(A66="",COUNTIF(Components!$A$8:$A$107,A66)&lt;&gt;1),"",IF(VLOOKUP(A66,Components!$A$8:$S$107,10,FALSE)="","",VLOOKUP(A66,Components!$A$8:$S$107,10,FALSE)))</f>
        <v/>
      </c>
      <c r="L66" s="14">
        <f>IF(OR(A66="",COUNTIF(Components!$A$8:$A$107,A66)&lt;&gt;1),"",IF(VLOOKUP(A66,Components!$A$8:$S$107,11,FALSE)="","",VLOOKUP(A66,Components!$A$8:$S$107,11,FALSE)))</f>
        <v/>
      </c>
      <c r="M66" s="14">
        <f>IF(OR(A66="",COUNTIF(Components!$A$8:$A$107,A66)&lt;&gt;1),"",IF(VLOOKUP(A66,Components!$A$8:$S$107,12,FALSE)="","",VLOOKUP(A66,Components!$A$8:$S$107,12,FALSE)))</f>
        <v/>
      </c>
      <c r="N66" s="15">
        <f>IF(OR(A66="",COUNTIF(Components!$A$8:$A$107,A66)&lt;&gt;1),"",IF(VLOOKUP(A66,Components!$A$8:$S$107,13,FALSE)="","",VLOOKUP(A66,Components!$A$8:$S$107,13,FALSE)))</f>
        <v/>
      </c>
      <c r="O66" s="15">
        <f>IF(OR(N66="",NOT(ISNUMBER(B66))),"",B66*N66)</f>
        <v/>
      </c>
      <c r="P66" s="1">
        <f>IF(OR(A66="",COUNTIF(Components!$A$8:$A$107,A66)&lt;&gt;1),"",IF(VLOOKUP(A66,Components!$A$8:$S$107,14,FALSE)="","",VLOOKUP(A66,Components!$A$8:$S$107,14,FALSE)))</f>
        <v/>
      </c>
      <c r="Q66" s="14">
        <f>IF(OR(A66="",COUNTIF(Components!$A$8:$A$107,A66)&lt;&gt;1),"",IF(VLOOKUP(A66,Components!$A$8:$S$107,15,FALSE)="","",VLOOKUP(A66,Components!$A$8:$S$107,15,FALSE)))</f>
        <v/>
      </c>
      <c r="R66" s="14">
        <f>IF(OR(A66="",COUNTIF(Components!$A$8:$A$107,A66)&lt;&gt;1),"",IF(VLOOKUP(A66,Components!$A$8:$S$107,16,FALSE)="","",VLOOKUP(A66,Components!$A$8:$S$107,16,FALSE)))</f>
        <v/>
      </c>
      <c r="S66" s="14">
        <f>IF(OR(A66="",COUNTIF(Components!$A$8:$A$107,A66)&lt;&gt;1),"",IF(VLOOKUP(A66,Components!$A$8:$S$107,17,FALSE)="","",VLOOKUP(A66,Components!$A$8:$S$107,17,FALSE)))</f>
        <v/>
      </c>
      <c r="T66" s="15">
        <f>IF(OR(A66="",COUNTIF(Components!$A$8:$A$107,A66)&lt;&gt;1),"",IF(VLOOKUP(A66,Components!$A$8:$S$107,18,FALSE)="","",VLOOKUP(A66,Components!$A$8:$S$107,18,FALSE)))</f>
        <v/>
      </c>
      <c r="U66" s="15">
        <f>IF(OR(T66="",NOT(ISNUMBER(B66))),"",B66*T66)</f>
        <v/>
      </c>
    </row>
    <row r="67" ht="48" customHeight="1">
      <c r="A67" s="4" t="n"/>
      <c r="B67" s="11" t="n"/>
      <c r="C67" s="6">
        <f>IF(A67="","",IF(COUNTIF(Components!$A$8:$A$107,A67)&lt;&gt;1,"Pending",VLOOKUP(A67,Components!$A$8:$F$107,5,FALSE)))</f>
        <v/>
      </c>
      <c r="D67" s="5" t="n"/>
      <c r="E67" s="6">
        <f>IF(A67="","",IF(ISBLANK(D67),C67,IF(AND(ISNUMBER(D67),D67&gt;=0),D67,"Pending")))</f>
        <v/>
      </c>
      <c r="F67" s="6">
        <f>IF(OR(G67="Catalog basis",G67="Override used"),B67*E67,"")</f>
        <v/>
      </c>
      <c r="G67" s="1">
        <f>IF(A67="",IF(OR(NOT(ISBLANK(B67)),NOT(ISBLANK(D67))),"Needs component",""),IF(COUNTIF(Components!$A$8:$A$107,A67)&lt;&gt;1,"Invalid component",IF(ISBLANK(B67),"Needs quantity",IF(NOT(ISNUMBER(B67)),"Invalid quantity",IF(OR(B67&lt;0,B67&lt;&gt;INT(B67)),"Invalid quantity",IF(NOT(ISNUMBER(E67)),"Needs heat input",IF(NOT(ISBLANK(D67)),"Override used","Catalog basis")))))))</f>
        <v/>
      </c>
      <c r="H67" s="1" t="n"/>
      <c r="I67" s="12">
        <f>IF(A67="","",IF(COUNTIF(Components!$A$8:$A$107,A67)&lt;&gt;1,"Select a unique catalog component",VLOOKUP(A67,Components!$A$8:$F$107,6,FALSE)))</f>
        <v/>
      </c>
      <c r="J67" s="1">
        <f>IF(OR(A67="",COUNTIF(Components!$A$8:$A$107,A67)&lt;&gt;1),"",IF(VLOOKUP(A67,Components!$A$8:$S$107,9,FALSE)="","",VLOOKUP(A67,Components!$A$8:$S$107,9,FALSE)))</f>
        <v/>
      </c>
      <c r="K67" s="14">
        <f>IF(OR(A67="",COUNTIF(Components!$A$8:$A$107,A67)&lt;&gt;1),"",IF(VLOOKUP(A67,Components!$A$8:$S$107,10,FALSE)="","",VLOOKUP(A67,Components!$A$8:$S$107,10,FALSE)))</f>
        <v/>
      </c>
      <c r="L67" s="14">
        <f>IF(OR(A67="",COUNTIF(Components!$A$8:$A$107,A67)&lt;&gt;1),"",IF(VLOOKUP(A67,Components!$A$8:$S$107,11,FALSE)="","",VLOOKUP(A67,Components!$A$8:$S$107,11,FALSE)))</f>
        <v/>
      </c>
      <c r="M67" s="14">
        <f>IF(OR(A67="",COUNTIF(Components!$A$8:$A$107,A67)&lt;&gt;1),"",IF(VLOOKUP(A67,Components!$A$8:$S$107,12,FALSE)="","",VLOOKUP(A67,Components!$A$8:$S$107,12,FALSE)))</f>
        <v/>
      </c>
      <c r="N67" s="15">
        <f>IF(OR(A67="",COUNTIF(Components!$A$8:$A$107,A67)&lt;&gt;1),"",IF(VLOOKUP(A67,Components!$A$8:$S$107,13,FALSE)="","",VLOOKUP(A67,Components!$A$8:$S$107,13,FALSE)))</f>
        <v/>
      </c>
      <c r="O67" s="15">
        <f>IF(OR(N67="",NOT(ISNUMBER(B67))),"",B67*N67)</f>
        <v/>
      </c>
      <c r="P67" s="1">
        <f>IF(OR(A67="",COUNTIF(Components!$A$8:$A$107,A67)&lt;&gt;1),"",IF(VLOOKUP(A67,Components!$A$8:$S$107,14,FALSE)="","",VLOOKUP(A67,Components!$A$8:$S$107,14,FALSE)))</f>
        <v/>
      </c>
      <c r="Q67" s="14">
        <f>IF(OR(A67="",COUNTIF(Components!$A$8:$A$107,A67)&lt;&gt;1),"",IF(VLOOKUP(A67,Components!$A$8:$S$107,15,FALSE)="","",VLOOKUP(A67,Components!$A$8:$S$107,15,FALSE)))</f>
        <v/>
      </c>
      <c r="R67" s="14">
        <f>IF(OR(A67="",COUNTIF(Components!$A$8:$A$107,A67)&lt;&gt;1),"",IF(VLOOKUP(A67,Components!$A$8:$S$107,16,FALSE)="","",VLOOKUP(A67,Components!$A$8:$S$107,16,FALSE)))</f>
        <v/>
      </c>
      <c r="S67" s="14">
        <f>IF(OR(A67="",COUNTIF(Components!$A$8:$A$107,A67)&lt;&gt;1),"",IF(VLOOKUP(A67,Components!$A$8:$S$107,17,FALSE)="","",VLOOKUP(A67,Components!$A$8:$S$107,17,FALSE)))</f>
        <v/>
      </c>
      <c r="T67" s="15">
        <f>IF(OR(A67="",COUNTIF(Components!$A$8:$A$107,A67)&lt;&gt;1),"",IF(VLOOKUP(A67,Components!$A$8:$S$107,18,FALSE)="","",VLOOKUP(A67,Components!$A$8:$S$107,18,FALSE)))</f>
        <v/>
      </c>
      <c r="U67" s="15">
        <f>IF(OR(T67="",NOT(ISNUMBER(B67))),"",B67*T67)</f>
        <v/>
      </c>
    </row>
    <row r="68" ht="48" customHeight="1">
      <c r="A68" s="4" t="n"/>
      <c r="B68" s="11" t="n"/>
      <c r="C68" s="6">
        <f>IF(A68="","",IF(COUNTIF(Components!$A$8:$A$107,A68)&lt;&gt;1,"Pending",VLOOKUP(A68,Components!$A$8:$F$107,5,FALSE)))</f>
        <v/>
      </c>
      <c r="D68" s="5" t="n"/>
      <c r="E68" s="6">
        <f>IF(A68="","",IF(ISBLANK(D68),C68,IF(AND(ISNUMBER(D68),D68&gt;=0),D68,"Pending")))</f>
        <v/>
      </c>
      <c r="F68" s="6">
        <f>IF(OR(G68="Catalog basis",G68="Override used"),B68*E68,"")</f>
        <v/>
      </c>
      <c r="G68" s="1">
        <f>IF(A68="",IF(OR(NOT(ISBLANK(B68)),NOT(ISBLANK(D68))),"Needs component",""),IF(COUNTIF(Components!$A$8:$A$107,A68)&lt;&gt;1,"Invalid component",IF(ISBLANK(B68),"Needs quantity",IF(NOT(ISNUMBER(B68)),"Invalid quantity",IF(OR(B68&lt;0,B68&lt;&gt;INT(B68)),"Invalid quantity",IF(NOT(ISNUMBER(E68)),"Needs heat input",IF(NOT(ISBLANK(D68)),"Override used","Catalog basis")))))))</f>
        <v/>
      </c>
      <c r="H68" s="1" t="n"/>
      <c r="I68" s="12">
        <f>IF(A68="","",IF(COUNTIF(Components!$A$8:$A$107,A68)&lt;&gt;1,"Select a unique catalog component",VLOOKUP(A68,Components!$A$8:$F$107,6,FALSE)))</f>
        <v/>
      </c>
      <c r="J68" s="1">
        <f>IF(OR(A68="",COUNTIF(Components!$A$8:$A$107,A68)&lt;&gt;1),"",IF(VLOOKUP(A68,Components!$A$8:$S$107,9,FALSE)="","",VLOOKUP(A68,Components!$A$8:$S$107,9,FALSE)))</f>
        <v/>
      </c>
      <c r="K68" s="14">
        <f>IF(OR(A68="",COUNTIF(Components!$A$8:$A$107,A68)&lt;&gt;1),"",IF(VLOOKUP(A68,Components!$A$8:$S$107,10,FALSE)="","",VLOOKUP(A68,Components!$A$8:$S$107,10,FALSE)))</f>
        <v/>
      </c>
      <c r="L68" s="14">
        <f>IF(OR(A68="",COUNTIF(Components!$A$8:$A$107,A68)&lt;&gt;1),"",IF(VLOOKUP(A68,Components!$A$8:$S$107,11,FALSE)="","",VLOOKUP(A68,Components!$A$8:$S$107,11,FALSE)))</f>
        <v/>
      </c>
      <c r="M68" s="14">
        <f>IF(OR(A68="",COUNTIF(Components!$A$8:$A$107,A68)&lt;&gt;1),"",IF(VLOOKUP(A68,Components!$A$8:$S$107,12,FALSE)="","",VLOOKUP(A68,Components!$A$8:$S$107,12,FALSE)))</f>
        <v/>
      </c>
      <c r="N68" s="15">
        <f>IF(OR(A68="",COUNTIF(Components!$A$8:$A$107,A68)&lt;&gt;1),"",IF(VLOOKUP(A68,Components!$A$8:$S$107,13,FALSE)="","",VLOOKUP(A68,Components!$A$8:$S$107,13,FALSE)))</f>
        <v/>
      </c>
      <c r="O68" s="15">
        <f>IF(OR(N68="",NOT(ISNUMBER(B68))),"",B68*N68)</f>
        <v/>
      </c>
      <c r="P68" s="1">
        <f>IF(OR(A68="",COUNTIF(Components!$A$8:$A$107,A68)&lt;&gt;1),"",IF(VLOOKUP(A68,Components!$A$8:$S$107,14,FALSE)="","",VLOOKUP(A68,Components!$A$8:$S$107,14,FALSE)))</f>
        <v/>
      </c>
      <c r="Q68" s="14">
        <f>IF(OR(A68="",COUNTIF(Components!$A$8:$A$107,A68)&lt;&gt;1),"",IF(VLOOKUP(A68,Components!$A$8:$S$107,15,FALSE)="","",VLOOKUP(A68,Components!$A$8:$S$107,15,FALSE)))</f>
        <v/>
      </c>
      <c r="R68" s="14">
        <f>IF(OR(A68="",COUNTIF(Components!$A$8:$A$107,A68)&lt;&gt;1),"",IF(VLOOKUP(A68,Components!$A$8:$S$107,16,FALSE)="","",VLOOKUP(A68,Components!$A$8:$S$107,16,FALSE)))</f>
        <v/>
      </c>
      <c r="S68" s="14">
        <f>IF(OR(A68="",COUNTIF(Components!$A$8:$A$107,A68)&lt;&gt;1),"",IF(VLOOKUP(A68,Components!$A$8:$S$107,17,FALSE)="","",VLOOKUP(A68,Components!$A$8:$S$107,17,FALSE)))</f>
        <v/>
      </c>
      <c r="T68" s="15">
        <f>IF(OR(A68="",COUNTIF(Components!$A$8:$A$107,A68)&lt;&gt;1),"",IF(VLOOKUP(A68,Components!$A$8:$S$107,18,FALSE)="","",VLOOKUP(A68,Components!$A$8:$S$107,18,FALSE)))</f>
        <v/>
      </c>
      <c r="U68" s="15">
        <f>IF(OR(T68="",NOT(ISNUMBER(B68))),"",B68*T68)</f>
        <v/>
      </c>
    </row>
    <row r="69" ht="48" customHeight="1">
      <c r="A69" s="4" t="n"/>
      <c r="B69" s="11" t="n"/>
      <c r="C69" s="6">
        <f>IF(A69="","",IF(COUNTIF(Components!$A$8:$A$107,A69)&lt;&gt;1,"Pending",VLOOKUP(A69,Components!$A$8:$F$107,5,FALSE)))</f>
        <v/>
      </c>
      <c r="D69" s="5" t="n"/>
      <c r="E69" s="6">
        <f>IF(A69="","",IF(ISBLANK(D69),C69,IF(AND(ISNUMBER(D69),D69&gt;=0),D69,"Pending")))</f>
        <v/>
      </c>
      <c r="F69" s="6">
        <f>IF(OR(G69="Catalog basis",G69="Override used"),B69*E69,"")</f>
        <v/>
      </c>
      <c r="G69" s="1">
        <f>IF(A69="",IF(OR(NOT(ISBLANK(B69)),NOT(ISBLANK(D69))),"Needs component",""),IF(COUNTIF(Components!$A$8:$A$107,A69)&lt;&gt;1,"Invalid component",IF(ISBLANK(B69),"Needs quantity",IF(NOT(ISNUMBER(B69)),"Invalid quantity",IF(OR(B69&lt;0,B69&lt;&gt;INT(B69)),"Invalid quantity",IF(NOT(ISNUMBER(E69)),"Needs heat input",IF(NOT(ISBLANK(D69)),"Override used","Catalog basis")))))))</f>
        <v/>
      </c>
      <c r="H69" s="1" t="n"/>
      <c r="I69" s="12">
        <f>IF(A69="","",IF(COUNTIF(Components!$A$8:$A$107,A69)&lt;&gt;1,"Select a unique catalog component",VLOOKUP(A69,Components!$A$8:$F$107,6,FALSE)))</f>
        <v/>
      </c>
      <c r="J69" s="1">
        <f>IF(OR(A69="",COUNTIF(Components!$A$8:$A$107,A69)&lt;&gt;1),"",IF(VLOOKUP(A69,Components!$A$8:$S$107,9,FALSE)="","",VLOOKUP(A69,Components!$A$8:$S$107,9,FALSE)))</f>
        <v/>
      </c>
      <c r="K69" s="14">
        <f>IF(OR(A69="",COUNTIF(Components!$A$8:$A$107,A69)&lt;&gt;1),"",IF(VLOOKUP(A69,Components!$A$8:$S$107,10,FALSE)="","",VLOOKUP(A69,Components!$A$8:$S$107,10,FALSE)))</f>
        <v/>
      </c>
      <c r="L69" s="14">
        <f>IF(OR(A69="",COUNTIF(Components!$A$8:$A$107,A69)&lt;&gt;1),"",IF(VLOOKUP(A69,Components!$A$8:$S$107,11,FALSE)="","",VLOOKUP(A69,Components!$A$8:$S$107,11,FALSE)))</f>
        <v/>
      </c>
      <c r="M69" s="14">
        <f>IF(OR(A69="",COUNTIF(Components!$A$8:$A$107,A69)&lt;&gt;1),"",IF(VLOOKUP(A69,Components!$A$8:$S$107,12,FALSE)="","",VLOOKUP(A69,Components!$A$8:$S$107,12,FALSE)))</f>
        <v/>
      </c>
      <c r="N69" s="15">
        <f>IF(OR(A69="",COUNTIF(Components!$A$8:$A$107,A69)&lt;&gt;1),"",IF(VLOOKUP(A69,Components!$A$8:$S$107,13,FALSE)="","",VLOOKUP(A69,Components!$A$8:$S$107,13,FALSE)))</f>
        <v/>
      </c>
      <c r="O69" s="15">
        <f>IF(OR(N69="",NOT(ISNUMBER(B69))),"",B69*N69)</f>
        <v/>
      </c>
      <c r="P69" s="1">
        <f>IF(OR(A69="",COUNTIF(Components!$A$8:$A$107,A69)&lt;&gt;1),"",IF(VLOOKUP(A69,Components!$A$8:$S$107,14,FALSE)="","",VLOOKUP(A69,Components!$A$8:$S$107,14,FALSE)))</f>
        <v/>
      </c>
      <c r="Q69" s="14">
        <f>IF(OR(A69="",COUNTIF(Components!$A$8:$A$107,A69)&lt;&gt;1),"",IF(VLOOKUP(A69,Components!$A$8:$S$107,15,FALSE)="","",VLOOKUP(A69,Components!$A$8:$S$107,15,FALSE)))</f>
        <v/>
      </c>
      <c r="R69" s="14">
        <f>IF(OR(A69="",COUNTIF(Components!$A$8:$A$107,A69)&lt;&gt;1),"",IF(VLOOKUP(A69,Components!$A$8:$S$107,16,FALSE)="","",VLOOKUP(A69,Components!$A$8:$S$107,16,FALSE)))</f>
        <v/>
      </c>
      <c r="S69" s="14">
        <f>IF(OR(A69="",COUNTIF(Components!$A$8:$A$107,A69)&lt;&gt;1),"",IF(VLOOKUP(A69,Components!$A$8:$S$107,17,FALSE)="","",VLOOKUP(A69,Components!$A$8:$S$107,17,FALSE)))</f>
        <v/>
      </c>
      <c r="T69" s="15">
        <f>IF(OR(A69="",COUNTIF(Components!$A$8:$A$107,A69)&lt;&gt;1),"",IF(VLOOKUP(A69,Components!$A$8:$S$107,18,FALSE)="","",VLOOKUP(A69,Components!$A$8:$S$107,18,FALSE)))</f>
        <v/>
      </c>
      <c r="U69" s="15">
        <f>IF(OR(T69="",NOT(ISNUMBER(B69))),"",B69*T69)</f>
        <v/>
      </c>
    </row>
    <row r="70" ht="48" customHeight="1">
      <c r="A70" s="4" t="n"/>
      <c r="B70" s="11" t="n"/>
      <c r="C70" s="6">
        <f>IF(A70="","",IF(COUNTIF(Components!$A$8:$A$107,A70)&lt;&gt;1,"Pending",VLOOKUP(A70,Components!$A$8:$F$107,5,FALSE)))</f>
        <v/>
      </c>
      <c r="D70" s="5" t="n"/>
      <c r="E70" s="6">
        <f>IF(A70="","",IF(ISBLANK(D70),C70,IF(AND(ISNUMBER(D70),D70&gt;=0),D70,"Pending")))</f>
        <v/>
      </c>
      <c r="F70" s="6">
        <f>IF(OR(G70="Catalog basis",G70="Override used"),B70*E70,"")</f>
        <v/>
      </c>
      <c r="G70" s="1">
        <f>IF(A70="",IF(OR(NOT(ISBLANK(B70)),NOT(ISBLANK(D70))),"Needs component",""),IF(COUNTIF(Components!$A$8:$A$107,A70)&lt;&gt;1,"Invalid component",IF(ISBLANK(B70),"Needs quantity",IF(NOT(ISNUMBER(B70)),"Invalid quantity",IF(OR(B70&lt;0,B70&lt;&gt;INT(B70)),"Invalid quantity",IF(NOT(ISNUMBER(E70)),"Needs heat input",IF(NOT(ISBLANK(D70)),"Override used","Catalog basis")))))))</f>
        <v/>
      </c>
      <c r="H70" s="1" t="n"/>
      <c r="I70" s="12">
        <f>IF(A70="","",IF(COUNTIF(Components!$A$8:$A$107,A70)&lt;&gt;1,"Select a unique catalog component",VLOOKUP(A70,Components!$A$8:$F$107,6,FALSE)))</f>
        <v/>
      </c>
      <c r="J70" s="1">
        <f>IF(OR(A70="",COUNTIF(Components!$A$8:$A$107,A70)&lt;&gt;1),"",IF(VLOOKUP(A70,Components!$A$8:$S$107,9,FALSE)="","",VLOOKUP(A70,Components!$A$8:$S$107,9,FALSE)))</f>
        <v/>
      </c>
      <c r="K70" s="14">
        <f>IF(OR(A70="",COUNTIF(Components!$A$8:$A$107,A70)&lt;&gt;1),"",IF(VLOOKUP(A70,Components!$A$8:$S$107,10,FALSE)="","",VLOOKUP(A70,Components!$A$8:$S$107,10,FALSE)))</f>
        <v/>
      </c>
      <c r="L70" s="14">
        <f>IF(OR(A70="",COUNTIF(Components!$A$8:$A$107,A70)&lt;&gt;1),"",IF(VLOOKUP(A70,Components!$A$8:$S$107,11,FALSE)="","",VLOOKUP(A70,Components!$A$8:$S$107,11,FALSE)))</f>
        <v/>
      </c>
      <c r="M70" s="14">
        <f>IF(OR(A70="",COUNTIF(Components!$A$8:$A$107,A70)&lt;&gt;1),"",IF(VLOOKUP(A70,Components!$A$8:$S$107,12,FALSE)="","",VLOOKUP(A70,Components!$A$8:$S$107,12,FALSE)))</f>
        <v/>
      </c>
      <c r="N70" s="15">
        <f>IF(OR(A70="",COUNTIF(Components!$A$8:$A$107,A70)&lt;&gt;1),"",IF(VLOOKUP(A70,Components!$A$8:$S$107,13,FALSE)="","",VLOOKUP(A70,Components!$A$8:$S$107,13,FALSE)))</f>
        <v/>
      </c>
      <c r="O70" s="15">
        <f>IF(OR(N70="",NOT(ISNUMBER(B70))),"",B70*N70)</f>
        <v/>
      </c>
      <c r="P70" s="1">
        <f>IF(OR(A70="",COUNTIF(Components!$A$8:$A$107,A70)&lt;&gt;1),"",IF(VLOOKUP(A70,Components!$A$8:$S$107,14,FALSE)="","",VLOOKUP(A70,Components!$A$8:$S$107,14,FALSE)))</f>
        <v/>
      </c>
      <c r="Q70" s="14">
        <f>IF(OR(A70="",COUNTIF(Components!$A$8:$A$107,A70)&lt;&gt;1),"",IF(VLOOKUP(A70,Components!$A$8:$S$107,15,FALSE)="","",VLOOKUP(A70,Components!$A$8:$S$107,15,FALSE)))</f>
        <v/>
      </c>
      <c r="R70" s="14">
        <f>IF(OR(A70="",COUNTIF(Components!$A$8:$A$107,A70)&lt;&gt;1),"",IF(VLOOKUP(A70,Components!$A$8:$S$107,16,FALSE)="","",VLOOKUP(A70,Components!$A$8:$S$107,16,FALSE)))</f>
        <v/>
      </c>
      <c r="S70" s="14">
        <f>IF(OR(A70="",COUNTIF(Components!$A$8:$A$107,A70)&lt;&gt;1),"",IF(VLOOKUP(A70,Components!$A$8:$S$107,17,FALSE)="","",VLOOKUP(A70,Components!$A$8:$S$107,17,FALSE)))</f>
        <v/>
      </c>
      <c r="T70" s="15">
        <f>IF(OR(A70="",COUNTIF(Components!$A$8:$A$107,A70)&lt;&gt;1),"",IF(VLOOKUP(A70,Components!$A$8:$S$107,18,FALSE)="","",VLOOKUP(A70,Components!$A$8:$S$107,18,FALSE)))</f>
        <v/>
      </c>
      <c r="U70" s="15">
        <f>IF(OR(T70="",NOT(ISNUMBER(B70))),"",B70*T70)</f>
        <v/>
      </c>
    </row>
  </sheetData>
  <conditionalFormatting sqref="G11:G70">
    <cfRule type="containsText" priority="1" operator="containsText" dxfId="0" text="Needs"/>
  </conditionalFormatting>
  <dataValidations count="3">
    <dataValidation sqref="A11:A70" showDropDown="0" showInputMessage="0" showErrorMessage="0" allowBlank="0" type="list">
      <formula1>INDIRECT("'Components'!$A$8:$A$107")</formula1>
    </dataValidation>
    <dataValidation sqref="B11:B70" showDropDown="0" showInputMessage="0" showErrorMessage="0" allowBlank="0" type="whole">
      <formula1>0</formula1>
      <formula2>100000</formula2>
    </dataValidation>
    <dataValidation sqref="D11:D70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243C59"/>
    <outlinePr summaryBelow="1" summaryRight="1"/>
    <pageSetUpPr/>
  </sheetPr>
  <dimension ref="A1:S107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C28" sqref="C28"/>
    </sheetView>
  </sheetViews>
  <sheetFormatPr baseColWidth="8" defaultRowHeight="14"/>
  <cols>
    <col width="38" customWidth="1" min="1" max="1"/>
    <col width="15" customWidth="1" min="2" max="4"/>
    <col width="17" customWidth="1" min="5" max="5"/>
    <col width="68" customWidth="1" min="6" max="6"/>
    <col width="3" customWidth="1" min="7" max="7"/>
    <col width="65" customWidth="1" min="8" max="8"/>
    <col width="13" customWidth="1" min="9" max="9"/>
    <col width="10" customWidth="1" min="10" max="10"/>
    <col width="13" customWidth="1" min="11" max="11"/>
    <col width="10" customWidth="1" min="12" max="12"/>
    <col width="11" customWidth="1" min="13" max="13"/>
    <col width="13" customWidth="1" min="14" max="14"/>
    <col width="10" customWidth="1" min="15" max="15"/>
    <col width="13" customWidth="1" min="16" max="16"/>
    <col width="10" customWidth="1" min="17" max="17"/>
    <col width="11" customWidth="1" min="18" max="18"/>
    <col width="70" customWidth="1" min="19" max="19"/>
  </cols>
  <sheetData>
    <row r="1" ht="23.15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3.15" customHeight="1">
      <c r="A2" s="2" t="inlineStr">
        <is>
          <t>Component heat catalog</t>
        </is>
      </c>
      <c r="B2" s="1" t="n"/>
      <c r="C2" s="1" t="n"/>
      <c r="D2" s="1" t="n"/>
      <c r="E2" s="1" t="n"/>
      <c r="F2" s="1" t="n"/>
      <c r="G2" s="1" t="n"/>
      <c r="H2" s="1" t="n"/>
    </row>
    <row r="3" ht="23.15" customHeight="1">
      <c r="A3" s="1" t="inlineStr">
        <is>
          <t>Amber cells are editable. Per-unit heat = DC heat + reference RF input x heat fraction.</t>
        </is>
      </c>
      <c r="B3" s="1" t="n"/>
      <c r="C3" s="1" t="n"/>
      <c r="D3" s="1" t="n"/>
      <c r="E3" s="1" t="n"/>
      <c r="F3" s="1" t="n"/>
      <c r="G3" s="1" t="n"/>
      <c r="H3" s="1" t="n"/>
    </row>
    <row r="4" ht="23.15" customHeight="1">
      <c r="A4" s="1" t="inlineStr">
        <is>
          <t>RF reference powers are examples or rated inputs, NOT verified system operating powers. Review before fan sizing.</t>
        </is>
      </c>
      <c r="B4" s="1" t="n"/>
      <c r="C4" s="1" t="n"/>
      <c r="D4" s="1" t="n"/>
      <c r="E4" s="1" t="n"/>
      <c r="F4" s="1" t="n"/>
      <c r="G4" s="1" t="n"/>
      <c r="H4" s="1" t="n"/>
    </row>
    <row r="5" ht="23.15" customHeight="1">
      <c r="A5" s="1" t="inlineStr">
        <is>
          <t>Add new unique part names in rows 8-107. Enclosure lists and lookups already cover these rows.</t>
        </is>
      </c>
      <c r="B5" s="1" t="n"/>
      <c r="C5" s="1" t="n"/>
      <c r="D5" s="1" t="n"/>
      <c r="E5" s="1" t="n"/>
      <c r="F5" s="1" t="n"/>
      <c r="G5" s="1" t="n"/>
      <c r="H5" s="1" t="n"/>
    </row>
    <row r="6" ht="23.15" customHeight="1">
      <c r="A6" s="1" t="n"/>
      <c r="B6" s="1" t="n"/>
      <c r="C6" s="1" t="n"/>
      <c r="D6" s="1" t="n"/>
      <c r="E6" s="1" t="n"/>
      <c r="F6" s="1" t="n"/>
      <c r="G6" s="1" t="n"/>
      <c r="H6" s="1" t="n"/>
    </row>
    <row r="7" ht="34" customHeight="1">
      <c r="A7" s="3" t="inlineStr">
        <is>
          <t>Component / operating case</t>
        </is>
      </c>
      <c r="B7" s="3" t="inlineStr">
        <is>
          <t>DC heat W/unit</t>
        </is>
      </c>
      <c r="C7" s="3" t="inlineStr">
        <is>
          <t>Reference RF W/unit</t>
        </is>
      </c>
      <c r="D7" s="3" t="inlineStr">
        <is>
          <t>RF heat fraction</t>
        </is>
      </c>
      <c r="E7" s="3" t="inlineStr">
        <is>
          <t>Heat W/unit</t>
        </is>
      </c>
      <c r="F7" s="3" t="inlineStr">
        <is>
          <t>Basis / limitations</t>
        </is>
      </c>
      <c r="G7" s="1" t="n"/>
      <c r="H7" s="3" t="inlineStr">
        <is>
          <t>Source</t>
        </is>
      </c>
      <c r="I7" s="3" t="inlineStr">
        <is>
          <t>Rail 1 voltage type</t>
        </is>
      </c>
      <c r="J7" s="3" t="inlineStr">
        <is>
          <t>Rail 1 V min</t>
        </is>
      </c>
      <c r="K7" s="3" t="inlineStr">
        <is>
          <t>Rail 1 V recommended</t>
        </is>
      </c>
      <c r="L7" s="3" t="inlineStr">
        <is>
          <t>Rail 1 V max</t>
        </is>
      </c>
      <c r="M7" s="3" t="inlineStr">
        <is>
          <t>Rail 1 max A</t>
        </is>
      </c>
      <c r="N7" s="3" t="inlineStr">
        <is>
          <t>Rail 2 voltage type</t>
        </is>
      </c>
      <c r="O7" s="3" t="inlineStr">
        <is>
          <t>Rail 2 V min</t>
        </is>
      </c>
      <c r="P7" s="3" t="inlineStr">
        <is>
          <t>Rail 2 V recommended</t>
        </is>
      </c>
      <c r="Q7" s="3" t="inlineStr">
        <is>
          <t>Rail 2 V max</t>
        </is>
      </c>
      <c r="R7" s="3" t="inlineStr">
        <is>
          <t>Rail 2 max A</t>
        </is>
      </c>
      <c r="S7" s="3" t="inlineStr">
        <is>
          <t>Electrical basis / notes</t>
        </is>
      </c>
    </row>
    <row r="8" ht="57" customHeight="1">
      <c r="A8" s="4" t="inlineStr">
        <is>
          <t>MSP2TA-18-12+ (energized)</t>
        </is>
      </c>
      <c r="B8" s="5" t="n">
        <v>5.16</v>
      </c>
      <c r="C8" s="5" t="n">
        <v>0</v>
      </c>
      <c r="D8" s="7" t="n">
        <v>0.108749</v>
      </c>
      <c r="E8" s="6">
        <f>IF(A8="","",IF(COUNT(B8:D8)&lt;3,"Pending",B8+C8*D8))</f>
        <v/>
      </c>
      <c r="F8" s="8" t="inlineStr">
        <is>
          <t>12 V x 0.430 A; continuously energized. RF default 0 W; add through-path RF and absorbed isolated-port power if significant.</t>
        </is>
      </c>
      <c r="G8" s="1" t="n"/>
      <c r="H8" s="8" t="inlineStr">
        <is>
          <t>MSP2TA-18-12+.pdf, p.2; 0.5 dB maximum through loss</t>
        </is>
      </c>
      <c r="I8" s="4" t="inlineStr">
        <is>
          <t>+12 V</t>
        </is>
      </c>
      <c r="J8" s="16" t="n">
        <v>11.5</v>
      </c>
      <c r="K8" s="16" t="n">
        <v>12</v>
      </c>
      <c r="L8" s="16" t="n">
        <v>12.5</v>
      </c>
      <c r="M8" s="17" t="n">
        <v>0.43</v>
      </c>
      <c r="N8" s="4" t="n"/>
      <c r="O8" s="16" t="n"/>
      <c r="P8" s="16" t="n"/>
      <c r="Q8" s="16" t="n"/>
      <c r="R8" s="17" t="n"/>
      <c r="S8" s="8" t="inlineStr">
        <is>
          <t>12 V +/-0.5 V operating range; 430 mA max coil current (13 VDC absolute max).</t>
        </is>
      </c>
    </row>
    <row r="9" ht="57" customHeight="1">
      <c r="A9" s="4" t="inlineStr">
        <is>
          <t>MSP2TA-18-12+ (de-energized)</t>
        </is>
      </c>
      <c r="B9" s="5" t="n">
        <v>0</v>
      </c>
      <c r="C9" s="5" t="n">
        <v>0</v>
      </c>
      <c r="D9" s="7" t="n">
        <v>0.108749</v>
      </c>
      <c r="E9" s="6">
        <f>IF(A9="","",IF(COUNT(B9:D9)&lt;3,"Pending",B9+C9*D9))</f>
        <v/>
      </c>
      <c r="F9" s="8" t="inlineStr">
        <is>
          <t>Coil off. RF default 0 W; add RF loss / internal termination heat as applicable.</t>
        </is>
      </c>
      <c r="G9" s="1" t="n"/>
      <c r="H9" s="8" t="inlineStr">
        <is>
          <t>MSP2TA-18-12+.pdf, p.2</t>
        </is>
      </c>
      <c r="I9" s="4" t="inlineStr">
        <is>
          <t>+12 V</t>
        </is>
      </c>
      <c r="J9" s="16" t="n">
        <v>11.5</v>
      </c>
      <c r="K9" s="16" t="n">
        <v>12</v>
      </c>
      <c r="L9" s="16" t="n">
        <v>12.5</v>
      </c>
      <c r="M9" s="17" t="n">
        <v>0</v>
      </c>
      <c r="N9" s="4" t="n"/>
      <c r="O9" s="16" t="n"/>
      <c r="P9" s="16" t="n"/>
      <c r="Q9" s="16" t="n"/>
      <c r="R9" s="17" t="n"/>
      <c r="S9" s="8" t="inlineStr">
        <is>
          <t>Coil off: 0 A.</t>
        </is>
      </c>
    </row>
    <row r="10" ht="57" customHeight="1">
      <c r="A10" s="4" t="inlineStr">
        <is>
          <t>ZFL-1000+</t>
        </is>
      </c>
      <c r="B10" s="5" t="n">
        <v>1.575</v>
      </c>
      <c r="C10" s="5" t="n">
        <v>0</v>
      </c>
      <c r="D10" s="7" t="n">
        <v>0</v>
      </c>
      <c r="E10" s="6">
        <f>IF(A10="","",IF(COUNT(B10:D10)&lt;3,"Pending",B10+C10*D10))</f>
        <v/>
      </c>
      <c r="F10" s="8" t="inlineStr">
        <is>
          <t>15 V x 105 mA DC budget; RF output subtraction neglected.</t>
        </is>
      </c>
      <c r="G10" s="1" t="n"/>
      <c r="H10" s="8" t="inlineStr">
        <is>
          <t>ZFL-1000+.pdf, p.1</t>
        </is>
      </c>
      <c r="I10" s="4" t="inlineStr">
        <is>
          <t>+15 V</t>
        </is>
      </c>
      <c r="J10" s="16" t="n"/>
      <c r="K10" s="16" t="n">
        <v>15</v>
      </c>
      <c r="L10" s="16" t="n">
        <v>17</v>
      </c>
      <c r="M10" s="17" t="n">
        <v>0.105</v>
      </c>
      <c r="N10" s="4" t="n"/>
      <c r="O10" s="16" t="n"/>
      <c r="P10" s="16" t="n"/>
      <c r="Q10" s="16" t="n"/>
      <c r="R10" s="17" t="n"/>
      <c r="S10" s="8" t="inlineStr">
        <is>
          <t>15 V nominal, 105 mA max. No minimum specified (curves shown at 12-16 V); 17 V is the absolute-maximum rating.</t>
        </is>
      </c>
    </row>
    <row r="11" ht="57" customHeight="1">
      <c r="A11" s="4" t="inlineStr">
        <is>
          <t>ZVA-443X+</t>
        </is>
      </c>
      <c r="B11" s="5" t="n">
        <v>0.75</v>
      </c>
      <c r="C11" s="5" t="n">
        <v>0</v>
      </c>
      <c r="D11" s="7" t="n">
        <v>0</v>
      </c>
      <c r="E11" s="6">
        <f>IF(A11="","",IF(COUNT(B11:D11)&lt;3,"Pending",B11+C11*D11))</f>
        <v/>
      </c>
      <c r="F11" s="8" t="inlineStr">
        <is>
          <t>5 V x 150 mA maximum current; DC heat budget, RF output subtraction neglected.</t>
        </is>
      </c>
      <c r="G11" s="1" t="n"/>
      <c r="H11" s="8" t="inlineStr">
        <is>
          <t>ZVA-443X+.pdf, p.2</t>
        </is>
      </c>
      <c r="I11" s="4" t="inlineStr">
        <is>
          <t>+5 V</t>
        </is>
      </c>
      <c r="J11" s="16" t="n"/>
      <c r="K11" s="16" t="n">
        <v>5</v>
      </c>
      <c r="L11" s="16" t="n">
        <v>6</v>
      </c>
      <c r="M11" s="17" t="n">
        <v>0.15</v>
      </c>
      <c r="N11" s="4" t="n"/>
      <c r="O11" s="16" t="n"/>
      <c r="P11" s="16" t="n"/>
      <c r="Q11" s="16" t="n"/>
      <c r="R11" s="17" t="n"/>
      <c r="S11" s="8" t="inlineStr">
        <is>
          <t>+5.0 V test condition, 150 mA max. No minimum specified; 6 V is the absolute-maximum rating.</t>
        </is>
      </c>
    </row>
    <row r="12" ht="57" customHeight="1">
      <c r="A12" s="4" t="inlineStr">
        <is>
          <t>ZX76-31A-PNS+</t>
        </is>
      </c>
      <c r="B12" s="5" t="n">
        <v>0.010944</v>
      </c>
      <c r="C12" s="5" t="n">
        <v>0.2511886432</v>
      </c>
      <c r="D12" s="7" t="n">
        <v>1</v>
      </c>
      <c r="E12" s="6">
        <f>IF(A12="","",IF(COUNT(B12:D12)&lt;3,"Pending",B12+C12*D12))</f>
        <v/>
      </c>
      <c r="F12" s="8" t="inlineStr">
        <is>
          <t>Maximum supply voltages/currents; assumes all +24 dBm RF input absorbed at high attenuation. Control-driver heat separate.</t>
        </is>
      </c>
      <c r="G12" s="1" t="n"/>
      <c r="H12" s="8" t="inlineStr">
        <is>
          <t>ZX76-31A-PNS+.pdf, pp.2-3</t>
        </is>
      </c>
      <c r="I12" s="4" t="inlineStr">
        <is>
          <t>+3 V</t>
        </is>
      </c>
      <c r="J12" s="16" t="n">
        <v>2.7</v>
      </c>
      <c r="K12" s="16" t="n">
        <v>3</v>
      </c>
      <c r="L12" s="16" t="n">
        <v>3.6</v>
      </c>
      <c r="M12" s="17" t="n">
        <v>0.003</v>
      </c>
      <c r="N12" s="4" t="inlineStr">
        <is>
          <t>-3.3 V</t>
        </is>
      </c>
      <c r="O12" s="16" t="n">
        <v>-3.6</v>
      </c>
      <c r="P12" s="16" t="n">
        <v>-3.3</v>
      </c>
      <c r="Q12" s="16" t="n">
        <v>-3.2</v>
      </c>
      <c r="R12" s="17" t="n">
        <v>4e-05</v>
      </c>
      <c r="S12" s="8" t="inlineStr">
        <is>
          <t>Vdd 3 mA max; Vss 40 uA max. Control current (400 uA max) not included.</t>
        </is>
      </c>
    </row>
    <row r="13" ht="57" customHeight="1">
      <c r="A13" s="4" t="inlineStr">
        <is>
          <t>TTL-1SP8T-183</t>
        </is>
      </c>
      <c r="B13" s="5" t="n">
        <v>1.125</v>
      </c>
      <c r="C13" s="5" t="n">
        <v>0</v>
      </c>
      <c r="D13" s="7" t="n">
        <v>0</v>
      </c>
      <c r="E13" s="6">
        <f>IF(A13="","",IF(COUNT(B13:D13)&lt;3,"Pending",B13+C13*D13))</f>
        <v/>
      </c>
      <c r="F13" s="8" t="inlineStr">
        <is>
          <t>Nominal +/-5 V x 200/25 mA maximum currents. RF loss and isolated-port dissipation not included.</t>
        </is>
      </c>
      <c r="G13" s="1" t="n"/>
      <c r="H13" s="8" t="inlineStr">
        <is>
          <t>TTL-1SP8T-183.pdf, p.3</t>
        </is>
      </c>
      <c r="I13" s="4" t="inlineStr">
        <is>
          <t>+5 V</t>
        </is>
      </c>
      <c r="J13" s="16" t="n">
        <v>4.75</v>
      </c>
      <c r="K13" s="16" t="n">
        <v>5</v>
      </c>
      <c r="L13" s="16" t="n">
        <v>5.25</v>
      </c>
      <c r="M13" s="17" t="n">
        <v>0.2</v>
      </c>
      <c r="N13" s="4" t="inlineStr">
        <is>
          <t>-5 V</t>
        </is>
      </c>
      <c r="O13" s="16" t="n">
        <v>-5.25</v>
      </c>
      <c r="P13" s="16" t="n">
        <v>-5</v>
      </c>
      <c r="Q13" s="16" t="n">
        <v>-4.75</v>
      </c>
      <c r="R13" s="17" t="n">
        <v>0.025</v>
      </c>
      <c r="S13" s="8" t="inlineStr">
        <is>
          <t>Control current (100 uA/bit) not included.</t>
        </is>
      </c>
    </row>
    <row r="14" ht="57" customHeight="1">
      <c r="A14" s="4" t="inlineStr">
        <is>
          <t>ANNE-50+</t>
        </is>
      </c>
      <c r="B14" s="5" t="n">
        <v>0</v>
      </c>
      <c r="C14" s="5" t="n">
        <v>1</v>
      </c>
      <c r="D14" s="7" t="n">
        <v>1</v>
      </c>
      <c r="E14" s="6">
        <f>IF(A14="","",IF(COUNT(B14:D14)&lt;3,"Pending",B14+C14*D14))</f>
        <v/>
      </c>
      <c r="F14" s="8" t="inlineStr">
        <is>
          <t>Assumes 1 W RF fully absorbed; check temperature derating (0.35 W rating at 100 C).</t>
        </is>
      </c>
      <c r="G14" s="1" t="n"/>
      <c r="H14" s="8" t="inlineStr">
        <is>
          <t>ANNE-50+.pdf, p.1</t>
        </is>
      </c>
      <c r="I14" s="4" t="inlineStr">
        <is>
          <t>None (passive)</t>
        </is>
      </c>
      <c r="J14" s="16" t="n"/>
      <c r="K14" s="16" t="n"/>
      <c r="L14" s="16" t="n"/>
      <c r="M14" s="17" t="n"/>
      <c r="N14" s="4" t="n"/>
      <c r="O14" s="16" t="n"/>
      <c r="P14" s="16" t="n"/>
      <c r="Q14" s="16" t="n"/>
      <c r="R14" s="17" t="n"/>
      <c r="S14" s="8" t="inlineStr">
        <is>
          <t>No DC supply.</t>
        </is>
      </c>
    </row>
    <row r="15" ht="57" customHeight="1">
      <c r="A15" s="4" t="inlineStr">
        <is>
          <t>ZUDC10-5R23-S+</t>
        </is>
      </c>
      <c r="B15" s="5" t="n">
        <v>0</v>
      </c>
      <c r="C15" s="5" t="n">
        <v>1</v>
      </c>
      <c r="D15" s="7" t="n">
        <v>0.1871694838359007</v>
      </c>
      <c r="E15" s="6">
        <f>IF(A15="","",IF(COUNT(B15:D15)&lt;3,"Pending",B15+C15*D15))</f>
        <v/>
      </c>
      <c r="F15" s="8" t="inlineStr">
        <is>
          <t>1 W RF example, 0.9 dB mainline loss. Upper estimate: coupled/reflected output is not internal heat.</t>
        </is>
      </c>
      <c r="G15" s="1" t="n"/>
      <c r="H15" s="8" t="inlineStr">
        <is>
          <t>ZUDC10-5R23-S+.pdf, electrical specifications</t>
        </is>
      </c>
      <c r="I15" s="4" t="inlineStr">
        <is>
          <t>None (passive)</t>
        </is>
      </c>
      <c r="J15" s="16" t="n"/>
      <c r="K15" s="16" t="n"/>
      <c r="L15" s="16" t="n"/>
      <c r="M15" s="17" t="n"/>
      <c r="N15" s="4" t="n"/>
      <c r="O15" s="16" t="n"/>
      <c r="P15" s="16" t="n"/>
      <c r="Q15" s="16" t="n"/>
      <c r="R15" s="17" t="n"/>
      <c r="S15" s="8" t="inlineStr">
        <is>
          <t>No DC supply.</t>
        </is>
      </c>
    </row>
    <row r="16" ht="57" customHeight="1">
      <c r="A16" s="4" t="inlineStr">
        <is>
          <t>ZVDC-20-0123+</t>
        </is>
      </c>
      <c r="B16" s="5" t="n">
        <v>0</v>
      </c>
      <c r="C16" s="5" t="n">
        <v>1</v>
      </c>
      <c r="D16" s="7" t="n">
        <v>0.2056717652757185</v>
      </c>
      <c r="E16" s="6">
        <f>IF(A16="","",IF(COUNT(B16:D16)&lt;3,"Pending",B16+C16*D16))</f>
        <v/>
      </c>
      <c r="F16" s="8" t="inlineStr">
        <is>
          <t>1 W RF example, 1.0 dB mainline loss. Upper estimate: coupled/reflected output is not internal heat.</t>
        </is>
      </c>
      <c r="G16" s="1" t="n"/>
      <c r="H16" s="8" t="inlineStr">
        <is>
          <t>ZVDC-20-0123+.pdf, electrical specifications</t>
        </is>
      </c>
      <c r="I16" s="4" t="inlineStr">
        <is>
          <t>None (passive)</t>
        </is>
      </c>
      <c r="J16" s="16" t="n"/>
      <c r="K16" s="16" t="n"/>
      <c r="L16" s="16" t="n"/>
      <c r="M16" s="17" t="n"/>
      <c r="N16" s="4" t="n"/>
      <c r="O16" s="16" t="n"/>
      <c r="P16" s="16" t="n"/>
      <c r="Q16" s="16" t="n"/>
      <c r="R16" s="17" t="n"/>
      <c r="S16" s="8" t="inlineStr">
        <is>
          <t>No DC supply.</t>
        </is>
      </c>
    </row>
    <row r="17" ht="57" customHeight="1">
      <c r="A17" s="4" t="inlineStr">
        <is>
          <t>ZFDC-20-5+</t>
        </is>
      </c>
      <c r="B17" s="5" t="n">
        <v>0</v>
      </c>
      <c r="C17" s="5" t="n">
        <v>1</v>
      </c>
      <c r="D17" s="7" t="n">
        <v>0.2755640399250099</v>
      </c>
      <c r="E17" s="6">
        <f>IF(A17="","",IF(COUNT(B17:D17)&lt;3,"Pending",B17+C17*D17))</f>
        <v/>
      </c>
      <c r="F17" s="8" t="inlineStr">
        <is>
          <t>1 W RF example, mid-band 1.4 dB maximum mainline loss. Check actual band / input power limit. Coupled power included in bound.</t>
        </is>
      </c>
      <c r="G17" s="1" t="n"/>
      <c r="H17" s="8" t="inlineStr">
        <is>
          <t>ZFDC-20-5+.pdf, electrical specifications</t>
        </is>
      </c>
      <c r="I17" s="4" t="inlineStr">
        <is>
          <t>None (passive)</t>
        </is>
      </c>
      <c r="J17" s="16" t="n"/>
      <c r="K17" s="16" t="n"/>
      <c r="L17" s="16" t="n"/>
      <c r="M17" s="17" t="n"/>
      <c r="N17" s="4" t="n"/>
      <c r="O17" s="16" t="n"/>
      <c r="P17" s="16" t="n"/>
      <c r="Q17" s="16" t="n"/>
      <c r="R17" s="17" t="n"/>
      <c r="S17" s="8" t="inlineStr">
        <is>
          <t>No DC supply.</t>
        </is>
      </c>
    </row>
    <row r="18" ht="57" customHeight="1">
      <c r="A18" s="4" t="inlineStr">
        <is>
          <t>CS18SR5</t>
        </is>
      </c>
      <c r="B18" s="5" t="n">
        <v>0</v>
      </c>
      <c r="C18" s="5" t="n">
        <v>1</v>
      </c>
      <c r="D18" s="7" t="n">
        <v>0.5522557722863322</v>
      </c>
      <c r="E18" s="6">
        <f>IF(A18="","",IF(COUNT(B18:D18)&lt;3,"Pending",B18+C18*D18))</f>
        <v/>
      </c>
      <c r="F18" s="8" t="inlineStr">
        <is>
          <t>1 W RF example; both matched outputs; 6.5 dB loss to EACH output. Reflected input included in conservative bound.</t>
        </is>
      </c>
      <c r="G18" s="1" t="n"/>
      <c r="H18" s="8" t="inlineStr">
        <is>
          <t>CS18SR5.pdf, p.1</t>
        </is>
      </c>
      <c r="I18" s="4" t="inlineStr">
        <is>
          <t>None (passive)</t>
        </is>
      </c>
      <c r="J18" s="16" t="n"/>
      <c r="K18" s="16" t="n"/>
      <c r="L18" s="16" t="n"/>
      <c r="M18" s="17" t="n"/>
      <c r="N18" s="4" t="n"/>
      <c r="O18" s="16" t="n"/>
      <c r="P18" s="16" t="n"/>
      <c r="Q18" s="16" t="n"/>
      <c r="R18" s="17" t="n"/>
      <c r="S18" s="8" t="inlineStr">
        <is>
          <t>No DC supply.</t>
        </is>
      </c>
    </row>
    <row r="19" ht="57" customHeight="1">
      <c r="A19" s="4" t="inlineStr">
        <is>
          <t>CS0520S</t>
        </is>
      </c>
      <c r="B19" s="5" t="n">
        <v>0</v>
      </c>
      <c r="C19" s="5" t="n">
        <v>1</v>
      </c>
      <c r="D19" s="7" t="n">
        <v>0.1087490618662544</v>
      </c>
      <c r="E19" s="6">
        <f>IF(A19="","",IF(COUNT(B19:D19)&lt;3,"Pending",B19+C19*D19))</f>
        <v/>
      </c>
      <c r="F19" s="8" t="inlineStr">
        <is>
          <t>1 W RF example; 0.5 dB interpreted as excess loss over ideal split. Confirm manufacturer definition. Matched outputs.</t>
        </is>
      </c>
      <c r="G19" s="1" t="n"/>
      <c r="H19" s="8" t="inlineStr">
        <is>
          <t>CS0520S.pdf, p.1</t>
        </is>
      </c>
      <c r="I19" s="4" t="inlineStr">
        <is>
          <t>None (passive)</t>
        </is>
      </c>
      <c r="J19" s="16" t="n"/>
      <c r="K19" s="16" t="n"/>
      <c r="L19" s="16" t="n"/>
      <c r="M19" s="17" t="n"/>
      <c r="N19" s="4" t="n"/>
      <c r="O19" s="16" t="n"/>
      <c r="P19" s="16" t="n"/>
      <c r="Q19" s="16" t="n"/>
      <c r="R19" s="17" t="n"/>
      <c r="S19" s="8" t="inlineStr">
        <is>
          <t>No DC supply.</t>
        </is>
      </c>
    </row>
    <row r="20" ht="57" customHeight="1">
      <c r="A20" s="4" t="inlineStr">
        <is>
          <t>SB-SF50-27+</t>
        </is>
      </c>
      <c r="B20" s="5" t="n">
        <v>0</v>
      </c>
      <c r="C20" s="5" t="n">
        <v>1</v>
      </c>
      <c r="D20" s="7" t="n">
        <v>0.04720383597634814</v>
      </c>
      <c r="E20" s="6">
        <f>IF(A20="","",IF(COUNT(B20:D20)&lt;3,"Pending",B20+C20*D20))</f>
        <v/>
      </c>
      <c r="F20" s="8" t="inlineStr">
        <is>
          <t>1 W RF example; 0.21 dB maximum at 18-27 GHz. Reflected input included in conservative bound.</t>
        </is>
      </c>
      <c r="G20" s="1" t="n"/>
      <c r="H20" s="8" t="inlineStr">
        <is>
          <t>No SB-SF50-27+ datasheet in the Component Datasheets folder; values unverified.</t>
        </is>
      </c>
      <c r="I20" s="4" t="inlineStr">
        <is>
          <t>None (passive)</t>
        </is>
      </c>
      <c r="J20" s="16" t="n"/>
      <c r="K20" s="16" t="n"/>
      <c r="L20" s="16" t="n"/>
      <c r="M20" s="17" t="n"/>
      <c r="N20" s="4" t="n"/>
      <c r="O20" s="16" t="n"/>
      <c r="P20" s="16" t="n"/>
      <c r="Q20" s="16" t="n"/>
      <c r="R20" s="17" t="n"/>
      <c r="S20" s="8" t="inlineStr">
        <is>
          <t>No DC supply.</t>
        </is>
      </c>
    </row>
    <row r="21" ht="57" customHeight="1">
      <c r="A21" s="4" t="inlineStr">
        <is>
          <t>PD-0500-2S (1-250 MHz)</t>
        </is>
      </c>
      <c r="B21" s="5" t="n">
        <v>0</v>
      </c>
      <c r="C21" s="5" t="n">
        <v>8</v>
      </c>
      <c r="D21" s="7" t="n">
        <v>0.08798916064409024</v>
      </c>
      <c r="E21" s="6">
        <f>IF(A21="","",IF(COUNT(B21:D21)&lt;3,"Pending",B21+C21*D21))</f>
        <v/>
      </c>
      <c r="F21" s="8" t="inlineStr">
        <is>
          <t>8 W rated input, matched loads; 0.4 dB treated as excess loss.</t>
        </is>
      </c>
      <c r="G21" s="1" t="n"/>
      <c r="H21" s="8" t="inlineStr">
        <is>
          <t>PD-0500-2S.pdf, p.1</t>
        </is>
      </c>
      <c r="I21" s="4" t="inlineStr">
        <is>
          <t>None (passive)</t>
        </is>
      </c>
      <c r="J21" s="16" t="n"/>
      <c r="K21" s="16" t="n"/>
      <c r="L21" s="16" t="n"/>
      <c r="M21" s="17" t="n"/>
      <c r="N21" s="4" t="n"/>
      <c r="O21" s="16" t="n"/>
      <c r="P21" s="16" t="n"/>
      <c r="Q21" s="16" t="n"/>
      <c r="R21" s="17" t="n"/>
      <c r="S21" s="8" t="inlineStr">
        <is>
          <t>No DC supply.</t>
        </is>
      </c>
    </row>
    <row r="22" ht="57" customHeight="1">
      <c r="A22" s="4" t="inlineStr">
        <is>
          <t>PD-0500-2S (250-500 MHz)</t>
        </is>
      </c>
      <c r="B22" s="5" t="n">
        <v>0</v>
      </c>
      <c r="C22" s="5" t="n">
        <v>8</v>
      </c>
      <c r="D22" s="7" t="n">
        <v>0.2056717652757185</v>
      </c>
      <c r="E22" s="6">
        <f>IF(A22="","",IF(COUNT(B22:D22)&lt;3,"Pending",B22+C22*D22))</f>
        <v/>
      </c>
      <c r="F22" s="8" t="inlineStr">
        <is>
          <t>8 W rated input, matched loads; 1.0 dB treated as excess loss.</t>
        </is>
      </c>
      <c r="G22" s="1" t="n"/>
      <c r="H22" s="8" t="inlineStr">
        <is>
          <t>PD-0500-2S.pdf, p.1</t>
        </is>
      </c>
      <c r="I22" s="4" t="inlineStr">
        <is>
          <t>None (passive)</t>
        </is>
      </c>
      <c r="J22" s="16" t="n"/>
      <c r="K22" s="16" t="n"/>
      <c r="L22" s="16" t="n"/>
      <c r="M22" s="17" t="n"/>
      <c r="N22" s="4" t="n"/>
      <c r="O22" s="16" t="n"/>
      <c r="P22" s="16" t="n"/>
      <c r="Q22" s="16" t="n"/>
      <c r="R22" s="17" t="n"/>
      <c r="S22" s="8" t="inlineStr">
        <is>
          <t>No DC supply.</t>
        </is>
      </c>
    </row>
    <row r="23" ht="57" customHeight="1">
      <c r="A23" s="4" t="inlineStr">
        <is>
          <t>PD-E000-2S</t>
        </is>
      </c>
      <c r="B23" s="5" t="n">
        <v>0</v>
      </c>
      <c r="C23" s="5" t="n">
        <v>10</v>
      </c>
      <c r="D23" s="7" t="n">
        <v>0.08798916064409024</v>
      </c>
      <c r="E23" s="6">
        <f>IF(A23="","",IF(COUNT(B23:D23)&lt;3,"Pending",B23+C23*D23))</f>
        <v/>
      </c>
      <c r="F23" s="8" t="inlineStr">
        <is>
          <t>10 W input example at rated power; matched-load estimate using 0.4 dB excess loss.</t>
        </is>
      </c>
      <c r="G23" s="1" t="n"/>
      <c r="H23" s="8" t="inlineStr">
        <is>
          <t>PD-E000-2S.pdf, p.1</t>
        </is>
      </c>
      <c r="I23" s="4" t="inlineStr">
        <is>
          <t>None (passive)</t>
        </is>
      </c>
      <c r="J23" s="16" t="n"/>
      <c r="K23" s="16" t="n"/>
      <c r="L23" s="16" t="n"/>
      <c r="M23" s="17" t="n"/>
      <c r="N23" s="4" t="n"/>
      <c r="O23" s="16" t="n"/>
      <c r="P23" s="16" t="n"/>
      <c r="Q23" s="16" t="n"/>
      <c r="R23" s="17" t="n"/>
      <c r="S23" s="8" t="inlineStr">
        <is>
          <t>No DC supply.</t>
        </is>
      </c>
    </row>
    <row r="24" ht="57" customHeight="1">
      <c r="A24" s="4" t="inlineStr">
        <is>
          <t>PD-F000-2S</t>
        </is>
      </c>
      <c r="B24" s="5" t="n">
        <v>0</v>
      </c>
      <c r="C24" s="5" t="n">
        <v>10</v>
      </c>
      <c r="D24" s="7" t="n">
        <v>0.1290364100439193</v>
      </c>
      <c r="E24" s="6">
        <f>IF(A24="","",IF(COUNT(B24:D24)&lt;3,"Pending",B24+C24*D24))</f>
        <v/>
      </c>
      <c r="F24" s="8" t="inlineStr">
        <is>
          <t>10 W input example at rated power; matched-load estimate using 0.6 dB excess loss.</t>
        </is>
      </c>
      <c r="G24" s="1" t="n"/>
      <c r="H24" s="8" t="inlineStr">
        <is>
          <t>PD-F000-2S.pdf, p.1</t>
        </is>
      </c>
      <c r="I24" s="4" t="inlineStr">
        <is>
          <t>None (passive)</t>
        </is>
      </c>
      <c r="J24" s="16" t="n"/>
      <c r="K24" s="16" t="n"/>
      <c r="L24" s="16" t="n"/>
      <c r="M24" s="17" t="n"/>
      <c r="N24" s="4" t="n"/>
      <c r="O24" s="16" t="n"/>
      <c r="P24" s="16" t="n"/>
      <c r="Q24" s="16" t="n"/>
      <c r="R24" s="17" t="n"/>
      <c r="S24" s="8" t="inlineStr">
        <is>
          <t>No DC supply.</t>
        </is>
      </c>
    </row>
    <row r="25" ht="57" customHeight="1">
      <c r="A25" s="4" t="inlineStr">
        <is>
          <t>PD-S000-2S</t>
        </is>
      </c>
      <c r="B25" s="5" t="n">
        <v>0</v>
      </c>
      <c r="C25" s="5" t="n">
        <v>10</v>
      </c>
      <c r="D25" s="7" t="n">
        <v>0.2586897586990825</v>
      </c>
      <c r="E25" s="6">
        <f>IF(A25="","",IF(COUNT(B25:D25)&lt;3,"Pending",B25+C25*D25))</f>
        <v/>
      </c>
      <c r="F25" s="8" t="inlineStr">
        <is>
          <t>10 W input example at rated power; matched-load estimate using 1.3 dB excess loss.</t>
        </is>
      </c>
      <c r="G25" s="1" t="n"/>
      <c r="H25" s="8" t="inlineStr">
        <is>
          <t>PD-S000-2S.pdf, p.1</t>
        </is>
      </c>
      <c r="I25" s="4" t="inlineStr">
        <is>
          <t>None (passive)</t>
        </is>
      </c>
      <c r="J25" s="16" t="n"/>
      <c r="K25" s="16" t="n"/>
      <c r="L25" s="16" t="n"/>
      <c r="M25" s="17" t="n"/>
      <c r="N25" s="4" t="n"/>
      <c r="O25" s="16" t="n"/>
      <c r="P25" s="16" t="n"/>
      <c r="Q25" s="16" t="n"/>
      <c r="R25" s="17" t="n"/>
      <c r="S25" s="8" t="inlineStr">
        <is>
          <t>No DC supply.</t>
        </is>
      </c>
    </row>
    <row r="26" ht="57" customHeight="1">
      <c r="A26" s="4" t="inlineStr">
        <is>
          <t>PS-D000-2S</t>
        </is>
      </c>
      <c r="B26" s="5" t="n">
        <v>0</v>
      </c>
      <c r="C26" s="5" t="n">
        <v>20</v>
      </c>
      <c r="D26" s="7" t="n">
        <v>0.07742857284523685</v>
      </c>
      <c r="E26" s="6">
        <f>IF(A26="","",IF(COUNT(B26:D26)&lt;3,"Pending",B26+C26*D26))</f>
        <v/>
      </c>
      <c r="F26" s="8" t="inlineStr">
        <is>
          <t>20 W input example at rated power; matched-load estimate using 0.35 dB excess loss.</t>
        </is>
      </c>
      <c r="G26" s="1" t="n"/>
      <c r="H26" s="8" t="inlineStr">
        <is>
          <t>PS-D000-2S.pdf, p.1</t>
        </is>
      </c>
      <c r="I26" s="4" t="inlineStr">
        <is>
          <t>None (passive)</t>
        </is>
      </c>
      <c r="J26" s="16" t="n"/>
      <c r="K26" s="16" t="n"/>
      <c r="L26" s="16" t="n"/>
      <c r="M26" s="17" t="n"/>
      <c r="N26" s="4" t="n"/>
      <c r="O26" s="16" t="n"/>
      <c r="P26" s="16" t="n"/>
      <c r="Q26" s="16" t="n"/>
      <c r="R26" s="17" t="n"/>
      <c r="S26" s="8" t="inlineStr">
        <is>
          <t>No DC supply.</t>
        </is>
      </c>
    </row>
    <row r="27" ht="57" customHeight="1">
      <c r="A27" s="4" t="inlineStr">
        <is>
          <t>TPD00180A8</t>
        </is>
      </c>
      <c r="B27" s="5" t="n">
        <v>0</v>
      </c>
      <c r="C27" s="5" t="n">
        <v>2</v>
      </c>
      <c r="D27" s="7" t="n">
        <v>0.968588405168032</v>
      </c>
      <c r="E27" s="6">
        <f>IF(A27="","",IF(COUNT(B27:D27)&lt;3,"Pending",B27+C27*D27))</f>
        <v/>
      </c>
      <c r="F27" s="8" t="inlineStr">
        <is>
          <t>2 W rated forward power, matched loads. Resistive 8-way: 6.0 dB max loss above 18.06 dB split = 24.06 dB to each output.</t>
        </is>
      </c>
      <c r="G27" s="1" t="n"/>
      <c r="H27" s="8" t="inlineStr">
        <is>
          <t>TPD00180A8-DC-18GHz-8-way-power-divider.pdf, p.1</t>
        </is>
      </c>
      <c r="I27" s="4" t="inlineStr">
        <is>
          <t>None (passive)</t>
        </is>
      </c>
      <c r="J27" s="16" t="n"/>
      <c r="K27" s="16" t="n"/>
      <c r="L27" s="16" t="n"/>
      <c r="M27" s="17" t="n"/>
      <c r="N27" s="4" t="n"/>
      <c r="O27" s="16" t="n"/>
      <c r="P27" s="16" t="n"/>
      <c r="Q27" s="16" t="n"/>
      <c r="R27" s="17" t="n"/>
      <c r="S27" s="8" t="inlineStr">
        <is>
          <t>No DC supply.</t>
        </is>
      </c>
    </row>
    <row r="28" ht="57" customHeight="1">
      <c r="A28" s="4" t="inlineStr">
        <is>
          <t>ZX10R-2-183-S+</t>
        </is>
      </c>
      <c r="B28" s="5" t="n">
        <v>0</v>
      </c>
      <c r="C28" s="5" t="n">
        <v>0.6</v>
      </c>
      <c r="D28" s="7" t="n">
        <v>0.6443441179922154</v>
      </c>
      <c r="E28" s="6">
        <f>IF(A28="","",IF(COUNT(B28:D28)&lt;3,"Pending",B28+C28*D28))</f>
        <v/>
      </c>
      <c r="F28" s="8" t="inlineStr">
        <is>
          <t>0.6 W rated splitter input; 4.5 dB max insertion loss above 3 dB (7.5 dB to each output). Within 0.6 W internal dissipation rating.</t>
        </is>
      </c>
      <c r="G28" s="1" t="n"/>
      <c r="H28" s="8" t="inlineStr">
        <is>
          <t>ZX10R-2-183-S+.pdf, p.2</t>
        </is>
      </c>
      <c r="I28" s="4" t="inlineStr">
        <is>
          <t>None (passive)</t>
        </is>
      </c>
      <c r="J28" s="16" t="n"/>
      <c r="K28" s="16" t="n"/>
      <c r="L28" s="16" t="n"/>
      <c r="M28" s="17" t="n"/>
      <c r="N28" s="4" t="n"/>
      <c r="O28" s="16" t="n"/>
      <c r="P28" s="16" t="n"/>
      <c r="Q28" s="16" t="n"/>
      <c r="R28" s="17" t="n"/>
      <c r="S28" s="8" t="inlineStr">
        <is>
          <t>No DC supply.</t>
        </is>
      </c>
    </row>
    <row r="29" ht="57" customHeight="1">
      <c r="A29" s="4" t="inlineStr">
        <is>
          <t>50P-2101</t>
        </is>
      </c>
      <c r="B29" s="5" t="n">
        <v>0.01</v>
      </c>
      <c r="C29" s="5" t="n">
        <v>0.251188643150958</v>
      </c>
      <c r="D29" s="7" t="n">
        <v>1</v>
      </c>
      <c r="E29" s="6">
        <f>IF(A29="","",IF(COUNT(B29:D29)&lt;3,"Pending",B29+C29*D29))</f>
        <v/>
      </c>
      <c r="F29" s="8" t="inlineStr">
        <is>
          <t>+5 V x 2 mA nominal DC; assumes all +24 dBm rated operating RF input absorbed at high attenuation (same basis as ZX76-31A-PNS+).</t>
        </is>
      </c>
      <c r="G29" s="1" t="n"/>
      <c r="H29" s="8" t="inlineStr">
        <is>
          <t>50P-2101.pdf, p.1</t>
        </is>
      </c>
      <c r="I29" s="4" t="inlineStr">
        <is>
          <t>+5 V</t>
        </is>
      </c>
      <c r="J29" s="16" t="n"/>
      <c r="K29" s="16" t="n">
        <v>5</v>
      </c>
      <c r="L29" s="16" t="n"/>
      <c r="M29" s="17" t="n">
        <v>0.002</v>
      </c>
      <c r="N29" s="4" t="n"/>
      <c r="O29" s="16" t="n"/>
      <c r="P29" s="16" t="n"/>
      <c r="Q29" s="16" t="n"/>
      <c r="R29" s="17" t="n"/>
      <c r="S29" s="8" t="inlineStr">
        <is>
          <t>+5 Vdc at 2 mA nominal; datasheet gives no voltage tolerance or maximum current.</t>
        </is>
      </c>
    </row>
    <row r="30" ht="57" customHeight="1">
      <c r="A30" s="4" t="inlineStr">
        <is>
          <t>BW-S0.5W2+</t>
        </is>
      </c>
      <c r="B30" s="5" t="n">
        <v>0</v>
      </c>
      <c r="C30" s="5" t="n">
        <v>2</v>
      </c>
      <c r="D30" s="7" t="n">
        <v>0.16824</v>
      </c>
      <c r="E30" s="6">
        <f>IF(A30="","",IF(COUNT(B30:D30)&lt;3,"Pending",B30+C30*D30))</f>
        <v/>
      </c>
      <c r="F30" s="8" t="inlineStr">
        <is>
          <t>2 W rated input; 0.8 dB maximum attenuation dissipated.</t>
        </is>
      </c>
      <c r="G30" s="1" t="n"/>
      <c r="H30" s="8" t="inlineStr">
        <is>
          <t>BW-S0.5W2+.pdf, p.2</t>
        </is>
      </c>
      <c r="I30" s="4" t="inlineStr">
        <is>
          <t>None (passive)</t>
        </is>
      </c>
      <c r="J30" s="16" t="n"/>
      <c r="K30" s="16" t="n"/>
      <c r="L30" s="16" t="n"/>
      <c r="M30" s="17" t="n"/>
      <c r="N30" s="4" t="n"/>
      <c r="O30" s="16" t="n"/>
      <c r="P30" s="16" t="n"/>
      <c r="Q30" s="16" t="n"/>
      <c r="R30" s="17" t="n"/>
      <c r="S30" s="8" t="inlineStr">
        <is>
          <t>No DC supply.</t>
        </is>
      </c>
    </row>
    <row r="31" ht="23.15" customHeight="1">
      <c r="A31" s="4" t="inlineStr">
        <is>
          <t>RFLT8WDC40G</t>
        </is>
      </c>
      <c r="B31" s="5" t="n">
        <v>0</v>
      </c>
      <c r="C31" s="5" t="n">
        <v>1</v>
      </c>
      <c r="D31" s="7" t="n">
        <v>0.95991</v>
      </c>
      <c r="E31" s="6">
        <f>IF(A31="","",IF(COUNT(B31:D31)&lt;3,"Pending",B31+C31*D31))</f>
        <v/>
      </c>
      <c r="F31" s="4" t="inlineStr">
        <is>
          <t>1 W rated forward power, matched loads; 23 dB max insertion loss to each of 8 outputs.</t>
        </is>
      </c>
      <c r="G31" s="1" t="n"/>
      <c r="H31" s="4" t="inlineStr">
        <is>
          <t>RFLT8WDC40G.pdf, p.1</t>
        </is>
      </c>
      <c r="I31" s="4" t="inlineStr">
        <is>
          <t>None (passive)</t>
        </is>
      </c>
      <c r="J31" s="16" t="n"/>
      <c r="K31" s="16" t="n"/>
      <c r="L31" s="16" t="n"/>
      <c r="M31" s="17" t="n"/>
      <c r="N31" s="4" t="n"/>
      <c r="O31" s="16" t="n"/>
      <c r="P31" s="16" t="n"/>
      <c r="Q31" s="16" t="n"/>
      <c r="R31" s="17" t="n"/>
      <c r="S31" s="8" t="inlineStr">
        <is>
          <t>No DC supply.</t>
        </is>
      </c>
    </row>
    <row r="32" ht="23.15" customHeight="1">
      <c r="A32" s="4" t="inlineStr">
        <is>
          <t>ZX76-24G-30-S+</t>
        </is>
      </c>
      <c r="B32" s="5" t="n">
        <v>0.001482</v>
      </c>
      <c r="C32" s="5" t="n">
        <v>0.1584893192461114</v>
      </c>
      <c r="D32" s="7" t="n">
        <v>1</v>
      </c>
      <c r="E32" s="6">
        <f>IF(A32="","",IF(COUNT(B32:D32)&lt;3,"Pending",B32+C32*D32))</f>
        <v/>
      </c>
      <c r="F32" s="8" t="inlineStr">
        <is>
          <t>Max supply V x max current; assumes +22 dBm (P1dB min) RF input fully absorbed at high attenuation.</t>
        </is>
      </c>
      <c r="G32" s="1" t="n"/>
      <c r="H32" s="8" t="inlineStr">
        <is>
          <t>ZX76-24G-30-S+_dashboard.pdf, pp.1-2</t>
        </is>
      </c>
      <c r="I32" s="4" t="inlineStr">
        <is>
          <t>+3.3 V</t>
        </is>
      </c>
      <c r="J32" s="16" t="n">
        <v>2.33</v>
      </c>
      <c r="K32" s="16" t="n">
        <v>3.3</v>
      </c>
      <c r="L32" s="16" t="n">
        <v>5.4</v>
      </c>
      <c r="M32" s="17" t="n">
        <v>0.00025</v>
      </c>
      <c r="N32" s="4" t="inlineStr">
        <is>
          <t>-3 V</t>
        </is>
      </c>
      <c r="O32" s="16" t="n">
        <v>-3.3</v>
      </c>
      <c r="P32" s="16" t="n">
        <v>-3</v>
      </c>
      <c r="Q32" s="16" t="n">
        <v>-2.7</v>
      </c>
      <c r="R32" s="17" t="n">
        <v>4e-05</v>
      </c>
      <c r="S32" s="8" t="inlineStr">
        <is>
          <t>Vdd min is 3.1 V when Vss is supplied externally. Grounding Vss uses the internal negative generator (rail 2 then not needed).</t>
        </is>
      </c>
    </row>
    <row r="33" ht="23.15" customHeight="1">
      <c r="A33" s="4" t="inlineStr">
        <is>
          <t>ZN2PD-02183-S+</t>
        </is>
      </c>
      <c r="B33" s="5" t="n">
        <v>0</v>
      </c>
      <c r="C33" s="5" t="n">
        <v>10</v>
      </c>
      <c r="D33" s="7" t="n">
        <v>0.2056717652757185</v>
      </c>
      <c r="E33" s="6">
        <f>IF(A33="","",IF(COUNT(B33:D33)&lt;3,"Pending",B33+C33*D33))</f>
        <v/>
      </c>
      <c r="F33" s="8" t="inlineStr">
        <is>
          <t>10 W rated splitter input, matched loads; 1.0 dB max excess loss over 3 dB split.</t>
        </is>
      </c>
      <c r="G33" s="1" t="n"/>
      <c r="H33" s="8" t="inlineStr">
        <is>
          <t>ZN2PD-02183-S+.pdf, p.2</t>
        </is>
      </c>
      <c r="I33" s="4" t="inlineStr">
        <is>
          <t>None (passive)</t>
        </is>
      </c>
      <c r="J33" s="16" t="n"/>
      <c r="K33" s="16" t="n"/>
      <c r="L33" s="16" t="n"/>
      <c r="M33" s="17" t="n"/>
      <c r="N33" s="4" t="n"/>
      <c r="O33" s="16" t="n"/>
      <c r="P33" s="16" t="n"/>
      <c r="Q33" s="16" t="n"/>
      <c r="R33" s="17" t="n"/>
      <c r="S33" s="8" t="inlineStr">
        <is>
          <t>No DC supply.</t>
        </is>
      </c>
    </row>
    <row r="34" ht="23.15" customHeight="1">
      <c r="A34" s="4" t="inlineStr">
        <is>
          <t>ZN2PD-9G-S+ (1.7-6.8 GHz)</t>
        </is>
      </c>
      <c r="B34" s="5" t="n">
        <v>0</v>
      </c>
      <c r="C34" s="5" t="n">
        <v>30</v>
      </c>
      <c r="D34" s="7" t="n">
        <v>0.2414224249708162</v>
      </c>
      <c r="E34" s="6">
        <f>IF(A34="","",IF(COUNT(B34:D34)&lt;3,"Pending",B34+C34*D34))</f>
        <v/>
      </c>
      <c r="F34" s="8" t="inlineStr">
        <is>
          <t>30 W rated splitter input, matched loads; 1.2 dB max excess loss. Datasheet requires heat sinking (60 C base plate) at this power.</t>
        </is>
      </c>
      <c r="G34" s="1" t="n"/>
      <c r="H34" s="8" t="inlineStr">
        <is>
          <t>ZN2PD-9G-S+.pdf, p.2</t>
        </is>
      </c>
      <c r="I34" s="4" t="inlineStr">
        <is>
          <t>None (passive)</t>
        </is>
      </c>
      <c r="J34" s="16" t="n"/>
      <c r="K34" s="16" t="n"/>
      <c r="L34" s="16" t="n"/>
      <c r="M34" s="17" t="n"/>
      <c r="N34" s="4" t="n"/>
      <c r="O34" s="16" t="n"/>
      <c r="P34" s="16" t="n"/>
      <c r="Q34" s="16" t="n"/>
      <c r="R34" s="17" t="n"/>
      <c r="S34" s="8" t="inlineStr">
        <is>
          <t>No DC supply.</t>
        </is>
      </c>
    </row>
    <row r="35" ht="23.15" customHeight="1">
      <c r="A35" s="4" t="inlineStr">
        <is>
          <t>ZN2PD-9G-S+ (6.8-9 GHz)</t>
        </is>
      </c>
      <c r="B35" s="5" t="n">
        <v>0</v>
      </c>
      <c r="C35" s="5" t="n">
        <v>20</v>
      </c>
      <c r="D35" s="7" t="n">
        <v>0.2755640399250099</v>
      </c>
      <c r="E35" s="6">
        <f>IF(A35="","",IF(COUNT(B35:D35)&lt;3,"Pending",B35+C35*D35))</f>
        <v/>
      </c>
      <c r="F35" s="8" t="inlineStr">
        <is>
          <t>20 W rated splitter input, matched loads; 1.4 dB max excess loss.</t>
        </is>
      </c>
      <c r="G35" s="1" t="n"/>
      <c r="H35" s="8" t="inlineStr">
        <is>
          <t>ZN2PD-9G-S+.pdf, p.2</t>
        </is>
      </c>
      <c r="I35" s="4" t="inlineStr">
        <is>
          <t>None (passive)</t>
        </is>
      </c>
      <c r="J35" s="16" t="n"/>
      <c r="K35" s="16" t="n"/>
      <c r="L35" s="16" t="n"/>
      <c r="M35" s="17" t="n"/>
      <c r="N35" s="4" t="n"/>
      <c r="O35" s="16" t="n"/>
      <c r="P35" s="16" t="n"/>
      <c r="Q35" s="16" t="n"/>
      <c r="R35" s="17" t="n"/>
      <c r="S35" s="8" t="inlineStr">
        <is>
          <t>No DC supply.</t>
        </is>
      </c>
    </row>
    <row r="36" ht="23.15" customHeight="1">
      <c r="A36" s="4" t="inlineStr">
        <is>
          <t>PA-124-D (all cells energized)</t>
        </is>
      </c>
      <c r="B36" s="5" t="n">
        <v>12.096</v>
      </c>
      <c r="C36" s="5" t="n">
        <v>2</v>
      </c>
      <c r="D36" s="7" t="n">
        <v>1</v>
      </c>
      <c r="E36" s="6">
        <f>IF(A36="","",IF(COUNT(B36:D36)&lt;3,"Pending",B36+C36*D36))</f>
        <v/>
      </c>
      <c r="F36" s="8" t="inlineStr">
        <is>
          <t>Worst case: all 4 failsafe 28 V coils energized (28 V x 108 mA x 4). Assumes 2 W rated RF fully absorbed at 15 dB. Coil heat depends on attenuation state.</t>
        </is>
      </c>
      <c r="G36" s="1" t="n"/>
      <c r="H36" s="8" t="inlineStr">
        <is>
          <t>PA-124-D.pdf, p.1</t>
        </is>
      </c>
      <c r="I36" s="4" t="inlineStr">
        <is>
          <t>+28 V</t>
        </is>
      </c>
      <c r="J36" s="16" t="n"/>
      <c r="K36" s="16" t="n">
        <v>28</v>
      </c>
      <c r="L36" s="16" t="n"/>
      <c r="M36" s="17" t="n">
        <v>0.432</v>
      </c>
      <c r="N36" s="4" t="n"/>
      <c r="O36" s="16" t="n"/>
      <c r="P36" s="16" t="n"/>
      <c r="Q36" s="16" t="n"/>
      <c r="R36" s="17" t="n"/>
      <c r="S36" s="8" t="inlineStr">
        <is>
          <t>108 mA nominal per cell x 4 cells; datasheet gives no voltage tolerance or maximum current.</t>
        </is>
      </c>
    </row>
    <row r="37" ht="23.15" customHeight="1">
      <c r="A37" s="4" t="inlineStr">
        <is>
          <t>ADP-SMAF-SMAF-F-G</t>
        </is>
      </c>
      <c r="B37" s="5" t="n">
        <v>0</v>
      </c>
      <c r="C37" s="5" t="n">
        <v>0</v>
      </c>
      <c r="D37" s="7" t="n">
        <v>0</v>
      </c>
      <c r="E37" s="6">
        <f>IF(A37="","",IF(COUNT(B37:D37)&lt;3,"Pending",B37+C37*D37))</f>
        <v/>
      </c>
      <c r="F37" s="8" t="inlineStr">
        <is>
          <t>Passive SMA female-female flange-mount adapter; heat negligible.</t>
        </is>
      </c>
      <c r="G37" s="1" t="n"/>
      <c r="H37" s="8" t="inlineStr">
        <is>
          <t>ADP-SMAF-SMAF-F-G.pdf, pp.1-2</t>
        </is>
      </c>
      <c r="I37" s="4" t="inlineStr">
        <is>
          <t>None (passive)</t>
        </is>
      </c>
      <c r="J37" s="16" t="n"/>
      <c r="K37" s="16" t="n"/>
      <c r="L37" s="16" t="n"/>
      <c r="M37" s="17" t="n"/>
      <c r="N37" s="4" t="n"/>
      <c r="O37" s="16" t="n"/>
      <c r="P37" s="16" t="n"/>
      <c r="Q37" s="16" t="n"/>
      <c r="R37" s="17" t="n"/>
      <c r="S37" s="8" t="inlineStr">
        <is>
          <t>No DC supply.</t>
        </is>
      </c>
    </row>
    <row r="38" ht="23.15" customHeight="1">
      <c r="A38" s="4" t="inlineStr">
        <is>
          <t>OD3010-05HB fan</t>
        </is>
      </c>
      <c r="B38" s="5" t="n">
        <v>1.4</v>
      </c>
      <c r="C38" s="5" t="n">
        <v>0</v>
      </c>
      <c r="D38" s="7" t="n">
        <v>0</v>
      </c>
      <c r="E38" s="6">
        <f>IF(A38="","",IF(COUNT(B38:D38)&lt;3,"Pending",B38+C38*D38))</f>
        <v/>
      </c>
      <c r="F38" s="8" t="inlineStr">
        <is>
          <t>Rated input power (5 V x 0.28 A). Counts as enclosure heat only if the fan is inside the enclosure.</t>
        </is>
      </c>
      <c r="G38" s="1" t="n"/>
      <c r="H38" s="8" t="inlineStr">
        <is>
          <t>Fan OD3010.pdf, p.1 (tach/alarm/PWM variants identical)</t>
        </is>
      </c>
      <c r="I38" s="4" t="inlineStr">
        <is>
          <t>+5 V</t>
        </is>
      </c>
      <c r="J38" s="16" t="n">
        <v>4.5</v>
      </c>
      <c r="K38" s="16" t="n">
        <v>5</v>
      </c>
      <c r="L38" s="16" t="n">
        <v>5.5</v>
      </c>
      <c r="M38" s="17" t="n">
        <v>0.28</v>
      </c>
      <c r="N38" s="4" t="n"/>
      <c r="O38" s="16" t="n"/>
      <c r="P38" s="16" t="n"/>
      <c r="Q38" s="16" t="n"/>
      <c r="R38" s="17" t="n"/>
      <c r="S38" s="8" t="inlineStr">
        <is>
          <t>Rated current (no separate maximum or start-up current given).</t>
        </is>
      </c>
    </row>
    <row r="39" ht="23.15" customHeight="1">
      <c r="A39" s="4" t="inlineStr">
        <is>
          <t>OD3010-05MB fan</t>
        </is>
      </c>
      <c r="B39" s="5" t="n">
        <v>1.1</v>
      </c>
      <c r="C39" s="5" t="n">
        <v>0</v>
      </c>
      <c r="D39" s="7" t="n">
        <v>0</v>
      </c>
      <c r="E39" s="6">
        <f>IF(A39="","",IF(COUNT(B39:D39)&lt;3,"Pending",B39+C39*D39))</f>
        <v/>
      </c>
      <c r="F39" s="8" t="inlineStr">
        <is>
          <t>Rated input power (5 V x 0.21 A). Counts as enclosure heat only if the fan is inside the enclosure.</t>
        </is>
      </c>
      <c r="G39" s="1" t="n"/>
      <c r="H39" s="8" t="inlineStr">
        <is>
          <t>Fan OD3010.pdf, p.1 (tach/alarm/PWM variants identical)</t>
        </is>
      </c>
      <c r="I39" s="4" t="inlineStr">
        <is>
          <t>+5 V</t>
        </is>
      </c>
      <c r="J39" s="16" t="n">
        <v>4.5</v>
      </c>
      <c r="K39" s="16" t="n">
        <v>5</v>
      </c>
      <c r="L39" s="16" t="n">
        <v>5.5</v>
      </c>
      <c r="M39" s="17" t="n">
        <v>0.21</v>
      </c>
      <c r="N39" s="4" t="n"/>
      <c r="O39" s="16" t="n"/>
      <c r="P39" s="16" t="n"/>
      <c r="Q39" s="16" t="n"/>
      <c r="R39" s="17" t="n"/>
      <c r="S39" s="8" t="inlineStr">
        <is>
          <t>Rated current (no separate maximum or start-up current given).</t>
        </is>
      </c>
    </row>
    <row r="40" ht="23.15" customHeight="1">
      <c r="A40" s="4" t="inlineStr">
        <is>
          <t>OD3010-05LB fan</t>
        </is>
      </c>
      <c r="B40" s="5" t="n">
        <v>0.9</v>
      </c>
      <c r="C40" s="5" t="n">
        <v>0</v>
      </c>
      <c r="D40" s="7" t="n">
        <v>0</v>
      </c>
      <c r="E40" s="6">
        <f>IF(A40="","",IF(COUNT(B40:D40)&lt;3,"Pending",B40+C40*D40))</f>
        <v/>
      </c>
      <c r="F40" s="8" t="inlineStr">
        <is>
          <t>Rated input power (5 V x 0.18 A). Counts as enclosure heat only if the fan is inside the enclosure.</t>
        </is>
      </c>
      <c r="G40" s="1" t="n"/>
      <c r="H40" s="8" t="inlineStr">
        <is>
          <t>Fan OD3010.pdf, p.1 (tach/alarm/PWM variants identical)</t>
        </is>
      </c>
      <c r="I40" s="4" t="inlineStr">
        <is>
          <t>+5 V</t>
        </is>
      </c>
      <c r="J40" s="16" t="n">
        <v>4.5</v>
      </c>
      <c r="K40" s="16" t="n">
        <v>5</v>
      </c>
      <c r="L40" s="16" t="n">
        <v>5.5</v>
      </c>
      <c r="M40" s="17" t="n">
        <v>0.18</v>
      </c>
      <c r="N40" s="4" t="n"/>
      <c r="O40" s="16" t="n"/>
      <c r="P40" s="16" t="n"/>
      <c r="Q40" s="16" t="n"/>
      <c r="R40" s="17" t="n"/>
      <c r="S40" s="8" t="inlineStr">
        <is>
          <t>Rated current (no separate maximum or start-up current given).</t>
        </is>
      </c>
    </row>
    <row r="41" ht="23.15" customHeight="1">
      <c r="A41" s="4" t="inlineStr">
        <is>
          <t>OD3010-12HB fan</t>
        </is>
      </c>
      <c r="B41" s="5" t="n">
        <v>1.8</v>
      </c>
      <c r="C41" s="5" t="n">
        <v>0</v>
      </c>
      <c r="D41" s="7" t="n">
        <v>0</v>
      </c>
      <c r="E41" s="6">
        <f>IF(A41="","",IF(COUNT(B41:D41)&lt;3,"Pending",B41+C41*D41))</f>
        <v/>
      </c>
      <c r="F41" s="8" t="inlineStr">
        <is>
          <t>Rated input power (12 V x 0.15 A). Counts as enclosure heat only if the fan is inside the enclosure.</t>
        </is>
      </c>
      <c r="G41" s="1" t="n"/>
      <c r="H41" s="8" t="inlineStr">
        <is>
          <t>Fan OD3010.pdf, p.1 (tach/alarm/PWM variants identical)</t>
        </is>
      </c>
      <c r="I41" s="4" t="inlineStr">
        <is>
          <t>+12 V</t>
        </is>
      </c>
      <c r="J41" s="16" t="n">
        <v>11</v>
      </c>
      <c r="K41" s="16" t="n">
        <v>12</v>
      </c>
      <c r="L41" s="16" t="n">
        <v>13.8</v>
      </c>
      <c r="M41" s="17" t="n">
        <v>0.15</v>
      </c>
      <c r="N41" s="4" t="n"/>
      <c r="O41" s="16" t="n"/>
      <c r="P41" s="16" t="n"/>
      <c r="Q41" s="16" t="n"/>
      <c r="R41" s="17" t="n"/>
      <c r="S41" s="8" t="inlineStr">
        <is>
          <t>Rated current (no separate maximum or start-up current given).</t>
        </is>
      </c>
    </row>
    <row r="42" ht="23.15" customHeight="1">
      <c r="A42" s="4" t="inlineStr">
        <is>
          <t>OD3010-12MB fan</t>
        </is>
      </c>
      <c r="B42" s="5" t="n">
        <v>1.5</v>
      </c>
      <c r="C42" s="5" t="n">
        <v>0</v>
      </c>
      <c r="D42" s="7" t="n">
        <v>0</v>
      </c>
      <c r="E42" s="6">
        <f>IF(A42="","",IF(COUNT(B42:D42)&lt;3,"Pending",B42+C42*D42))</f>
        <v/>
      </c>
      <c r="F42" s="8" t="inlineStr">
        <is>
          <t>Rated input power (12 V x 0.12 A). Counts as enclosure heat only if the fan is inside the enclosure.</t>
        </is>
      </c>
      <c r="G42" s="1" t="n"/>
      <c r="H42" s="8" t="inlineStr">
        <is>
          <t>Fan OD3010.pdf, p.1 (tach/alarm/PWM variants identical)</t>
        </is>
      </c>
      <c r="I42" s="4" t="inlineStr">
        <is>
          <t>+12 V</t>
        </is>
      </c>
      <c r="J42" s="16" t="n">
        <v>11</v>
      </c>
      <c r="K42" s="16" t="n">
        <v>12</v>
      </c>
      <c r="L42" s="16" t="n">
        <v>13.8</v>
      </c>
      <c r="M42" s="17" t="n">
        <v>0.12</v>
      </c>
      <c r="N42" s="4" t="n"/>
      <c r="O42" s="16" t="n"/>
      <c r="P42" s="16" t="n"/>
      <c r="Q42" s="16" t="n"/>
      <c r="R42" s="17" t="n"/>
      <c r="S42" s="8" t="inlineStr">
        <is>
          <t>Rated current (no separate maximum or start-up current given).</t>
        </is>
      </c>
    </row>
    <row r="43" ht="23.15" customHeight="1">
      <c r="A43" s="4" t="inlineStr">
        <is>
          <t>OD3010-12LB fan</t>
        </is>
      </c>
      <c r="B43" s="5" t="n">
        <v>1.2</v>
      </c>
      <c r="C43" s="5" t="n">
        <v>0</v>
      </c>
      <c r="D43" s="7" t="n">
        <v>0</v>
      </c>
      <c r="E43" s="6">
        <f>IF(A43="","",IF(COUNT(B43:D43)&lt;3,"Pending",B43+C43*D43))</f>
        <v/>
      </c>
      <c r="F43" s="8" t="inlineStr">
        <is>
          <t>Rated input power (12 V x 0.10 A). Counts as enclosure heat only if the fan is inside the enclosure.</t>
        </is>
      </c>
      <c r="G43" s="1" t="n"/>
      <c r="H43" s="8" t="inlineStr">
        <is>
          <t>Fan OD3010.pdf, p.1 (tach/alarm/PWM variants identical)</t>
        </is>
      </c>
      <c r="I43" s="4" t="inlineStr">
        <is>
          <t>+12 V</t>
        </is>
      </c>
      <c r="J43" s="16" t="n">
        <v>11</v>
      </c>
      <c r="K43" s="16" t="n">
        <v>12</v>
      </c>
      <c r="L43" s="16" t="n">
        <v>13.8</v>
      </c>
      <c r="M43" s="17" t="n">
        <v>0.1</v>
      </c>
      <c r="N43" s="4" t="n"/>
      <c r="O43" s="16" t="n"/>
      <c r="P43" s="16" t="n"/>
      <c r="Q43" s="16" t="n"/>
      <c r="R43" s="17" t="n"/>
      <c r="S43" s="8" t="inlineStr">
        <is>
          <t>Rated current (no separate maximum or start-up current given).</t>
        </is>
      </c>
    </row>
    <row r="44" ht="23.15" customHeight="1">
      <c r="A44" s="4" t="n"/>
      <c r="B44" s="5" t="n"/>
      <c r="C44" s="5" t="n"/>
      <c r="D44" s="7" t="n"/>
      <c r="E44" s="6">
        <f>IF(A44="","",IF(COUNT(B44:D44)&lt;3,"Pending",B44+C44*D44))</f>
        <v/>
      </c>
      <c r="F44" s="4" t="n"/>
      <c r="G44" s="1" t="n"/>
      <c r="H44" s="4" t="n"/>
      <c r="I44" s="4" t="n"/>
      <c r="J44" s="5" t="n"/>
      <c r="K44" s="5" t="n"/>
      <c r="L44" s="5" t="n"/>
      <c r="M44" s="17" t="n"/>
      <c r="N44" s="4" t="n"/>
      <c r="O44" s="5" t="n"/>
      <c r="P44" s="5" t="n"/>
      <c r="Q44" s="5" t="n"/>
      <c r="R44" s="17" t="n"/>
      <c r="S44" s="8" t="n"/>
    </row>
    <row r="45" ht="23.15" customHeight="1">
      <c r="A45" s="4" t="n"/>
      <c r="B45" s="5" t="n"/>
      <c r="C45" s="5" t="n"/>
      <c r="D45" s="7" t="n"/>
      <c r="E45" s="6">
        <f>IF(A45="","",IF(COUNT(B45:D45)&lt;3,"Pending",B45+C45*D45))</f>
        <v/>
      </c>
      <c r="F45" s="4" t="n"/>
      <c r="G45" s="1" t="n"/>
      <c r="H45" s="4" t="n"/>
      <c r="I45" s="4" t="n"/>
      <c r="J45" s="5" t="n"/>
      <c r="K45" s="5" t="n"/>
      <c r="L45" s="5" t="n"/>
      <c r="M45" s="17" t="n"/>
      <c r="N45" s="4" t="n"/>
      <c r="O45" s="5" t="n"/>
      <c r="P45" s="5" t="n"/>
      <c r="Q45" s="5" t="n"/>
      <c r="R45" s="17" t="n"/>
      <c r="S45" s="8" t="n"/>
    </row>
    <row r="46" ht="23.15" customHeight="1">
      <c r="A46" s="4" t="n"/>
      <c r="B46" s="5" t="n"/>
      <c r="C46" s="5" t="n"/>
      <c r="D46" s="7" t="n"/>
      <c r="E46" s="6">
        <f>IF(A46="","",IF(COUNT(B46:D46)&lt;3,"Pending",B46+C46*D46))</f>
        <v/>
      </c>
      <c r="F46" s="4" t="n"/>
      <c r="G46" s="1" t="n"/>
      <c r="H46" s="4" t="n"/>
      <c r="I46" s="4" t="n"/>
      <c r="J46" s="5" t="n"/>
      <c r="K46" s="5" t="n"/>
      <c r="L46" s="5" t="n"/>
      <c r="M46" s="17" t="n"/>
      <c r="N46" s="4" t="n"/>
      <c r="O46" s="5" t="n"/>
      <c r="P46" s="5" t="n"/>
      <c r="Q46" s="5" t="n"/>
      <c r="R46" s="17" t="n"/>
      <c r="S46" s="8" t="n"/>
    </row>
    <row r="47" ht="23.15" customHeight="1">
      <c r="A47" s="4" t="n"/>
      <c r="B47" s="5" t="n"/>
      <c r="C47" s="5" t="n"/>
      <c r="D47" s="7" t="n"/>
      <c r="E47" s="6">
        <f>IF(A47="","",IF(COUNT(B47:D47)&lt;3,"Pending",B47+C47*D47))</f>
        <v/>
      </c>
      <c r="F47" s="4" t="n"/>
      <c r="G47" s="1" t="n"/>
      <c r="H47" s="4" t="n"/>
      <c r="I47" s="4" t="n"/>
      <c r="J47" s="5" t="n"/>
      <c r="K47" s="5" t="n"/>
      <c r="L47" s="5" t="n"/>
      <c r="M47" s="17" t="n"/>
      <c r="N47" s="4" t="n"/>
      <c r="O47" s="5" t="n"/>
      <c r="P47" s="5" t="n"/>
      <c r="Q47" s="5" t="n"/>
      <c r="R47" s="17" t="n"/>
      <c r="S47" s="8" t="n"/>
    </row>
    <row r="48" ht="23.15" customHeight="1">
      <c r="A48" s="4" t="n"/>
      <c r="B48" s="5" t="n"/>
      <c r="C48" s="5" t="n"/>
      <c r="D48" s="7" t="n"/>
      <c r="E48" s="6">
        <f>IF(A48="","",IF(COUNT(B48:D48)&lt;3,"Pending",B48+C48*D48))</f>
        <v/>
      </c>
      <c r="F48" s="4" t="n"/>
      <c r="G48" s="1" t="n"/>
      <c r="H48" s="4" t="n"/>
      <c r="I48" s="4" t="n"/>
      <c r="J48" s="5" t="n"/>
      <c r="K48" s="5" t="n"/>
      <c r="L48" s="5" t="n"/>
      <c r="M48" s="17" t="n"/>
      <c r="N48" s="4" t="n"/>
      <c r="O48" s="5" t="n"/>
      <c r="P48" s="5" t="n"/>
      <c r="Q48" s="5" t="n"/>
      <c r="R48" s="17" t="n"/>
      <c r="S48" s="8" t="n"/>
    </row>
    <row r="49" ht="23.15" customHeight="1">
      <c r="A49" s="4" t="n"/>
      <c r="B49" s="5" t="n"/>
      <c r="C49" s="5" t="n"/>
      <c r="D49" s="7" t="n"/>
      <c r="E49" s="6">
        <f>IF(A49="","",IF(COUNT(B49:D49)&lt;3,"Pending",B49+C49*D49))</f>
        <v/>
      </c>
      <c r="F49" s="4" t="n"/>
      <c r="G49" s="1" t="n"/>
      <c r="H49" s="4" t="n"/>
      <c r="I49" s="4" t="n"/>
      <c r="J49" s="5" t="n"/>
      <c r="K49" s="5" t="n"/>
      <c r="L49" s="5" t="n"/>
      <c r="M49" s="17" t="n"/>
      <c r="N49" s="4" t="n"/>
      <c r="O49" s="5" t="n"/>
      <c r="P49" s="5" t="n"/>
      <c r="Q49" s="5" t="n"/>
      <c r="R49" s="17" t="n"/>
      <c r="S49" s="8" t="n"/>
    </row>
    <row r="50" ht="23.15" customHeight="1">
      <c r="A50" s="4" t="n"/>
      <c r="B50" s="5" t="n"/>
      <c r="C50" s="5" t="n"/>
      <c r="D50" s="7" t="n"/>
      <c r="E50" s="6">
        <f>IF(A50="","",IF(COUNT(B50:D50)&lt;3,"Pending",B50+C50*D50))</f>
        <v/>
      </c>
      <c r="F50" s="4" t="n"/>
      <c r="G50" s="1" t="n"/>
      <c r="H50" s="4" t="n"/>
      <c r="I50" s="4" t="n"/>
      <c r="J50" s="5" t="n"/>
      <c r="K50" s="5" t="n"/>
      <c r="L50" s="5" t="n"/>
      <c r="M50" s="17" t="n"/>
      <c r="N50" s="4" t="n"/>
      <c r="O50" s="5" t="n"/>
      <c r="P50" s="5" t="n"/>
      <c r="Q50" s="5" t="n"/>
      <c r="R50" s="17" t="n"/>
      <c r="S50" s="8" t="n"/>
    </row>
    <row r="51" ht="23.15" customHeight="1">
      <c r="A51" s="4" t="n"/>
      <c r="B51" s="5" t="n"/>
      <c r="C51" s="5" t="n"/>
      <c r="D51" s="7" t="n"/>
      <c r="E51" s="6">
        <f>IF(A51="","",IF(COUNT(B51:D51)&lt;3,"Pending",B51+C51*D51))</f>
        <v/>
      </c>
      <c r="F51" s="4" t="n"/>
      <c r="G51" s="1" t="n"/>
      <c r="H51" s="4" t="n"/>
      <c r="I51" s="4" t="n"/>
      <c r="J51" s="5" t="n"/>
      <c r="K51" s="5" t="n"/>
      <c r="L51" s="5" t="n"/>
      <c r="M51" s="17" t="n"/>
      <c r="N51" s="4" t="n"/>
      <c r="O51" s="5" t="n"/>
      <c r="P51" s="5" t="n"/>
      <c r="Q51" s="5" t="n"/>
      <c r="R51" s="17" t="n"/>
      <c r="S51" s="8" t="n"/>
    </row>
    <row r="52" ht="23.15" customHeight="1">
      <c r="A52" s="4" t="n"/>
      <c r="B52" s="5" t="n"/>
      <c r="C52" s="5" t="n"/>
      <c r="D52" s="7" t="n"/>
      <c r="E52" s="6">
        <f>IF(A52="","",IF(COUNT(B52:D52)&lt;3,"Pending",B52+C52*D52))</f>
        <v/>
      </c>
      <c r="F52" s="4" t="n"/>
      <c r="G52" s="1" t="n"/>
      <c r="H52" s="4" t="n"/>
      <c r="I52" s="4" t="n"/>
      <c r="J52" s="5" t="n"/>
      <c r="K52" s="5" t="n"/>
      <c r="L52" s="5" t="n"/>
      <c r="M52" s="17" t="n"/>
      <c r="N52" s="4" t="n"/>
      <c r="O52" s="5" t="n"/>
      <c r="P52" s="5" t="n"/>
      <c r="Q52" s="5" t="n"/>
      <c r="R52" s="17" t="n"/>
      <c r="S52" s="8" t="n"/>
    </row>
    <row r="53" ht="23.15" customHeight="1">
      <c r="A53" s="4" t="n"/>
      <c r="B53" s="5" t="n"/>
      <c r="C53" s="5" t="n"/>
      <c r="D53" s="7" t="n"/>
      <c r="E53" s="6">
        <f>IF(A53="","",IF(COUNT(B53:D53)&lt;3,"Pending",B53+C53*D53))</f>
        <v/>
      </c>
      <c r="F53" s="4" t="n"/>
      <c r="G53" s="1" t="n"/>
      <c r="H53" s="4" t="n"/>
      <c r="I53" s="4" t="n"/>
      <c r="J53" s="5" t="n"/>
      <c r="K53" s="5" t="n"/>
      <c r="L53" s="5" t="n"/>
      <c r="M53" s="17" t="n"/>
      <c r="N53" s="4" t="n"/>
      <c r="O53" s="5" t="n"/>
      <c r="P53" s="5" t="n"/>
      <c r="Q53" s="5" t="n"/>
      <c r="R53" s="17" t="n"/>
      <c r="S53" s="8" t="n"/>
    </row>
    <row r="54" ht="23.15" customHeight="1">
      <c r="A54" s="4" t="n"/>
      <c r="B54" s="5" t="n"/>
      <c r="C54" s="5" t="n"/>
      <c r="D54" s="7" t="n"/>
      <c r="E54" s="6">
        <f>IF(A54="","",IF(COUNT(B54:D54)&lt;3,"Pending",B54+C54*D54))</f>
        <v/>
      </c>
      <c r="F54" s="4" t="n"/>
      <c r="G54" s="1" t="n"/>
      <c r="H54" s="4" t="n"/>
      <c r="I54" s="4" t="n"/>
      <c r="J54" s="5" t="n"/>
      <c r="K54" s="5" t="n"/>
      <c r="L54" s="5" t="n"/>
      <c r="M54" s="17" t="n"/>
      <c r="N54" s="4" t="n"/>
      <c r="O54" s="5" t="n"/>
      <c r="P54" s="5" t="n"/>
      <c r="Q54" s="5" t="n"/>
      <c r="R54" s="17" t="n"/>
      <c r="S54" s="8" t="n"/>
    </row>
    <row r="55" ht="23.15" customHeight="1">
      <c r="A55" s="4" t="n"/>
      <c r="B55" s="5" t="n"/>
      <c r="C55" s="5" t="n"/>
      <c r="D55" s="7" t="n"/>
      <c r="E55" s="6">
        <f>IF(A55="","",IF(COUNT(B55:D55)&lt;3,"Pending",B55+C55*D55))</f>
        <v/>
      </c>
      <c r="F55" s="4" t="n"/>
      <c r="G55" s="1" t="n"/>
      <c r="H55" s="4" t="n"/>
      <c r="I55" s="4" t="n"/>
      <c r="J55" s="5" t="n"/>
      <c r="K55" s="5" t="n"/>
      <c r="L55" s="5" t="n"/>
      <c r="M55" s="17" t="n"/>
      <c r="N55" s="4" t="n"/>
      <c r="O55" s="5" t="n"/>
      <c r="P55" s="5" t="n"/>
      <c r="Q55" s="5" t="n"/>
      <c r="R55" s="17" t="n"/>
      <c r="S55" s="8" t="n"/>
    </row>
    <row r="56" ht="23.15" customHeight="1">
      <c r="A56" s="4" t="n"/>
      <c r="B56" s="5" t="n"/>
      <c r="C56" s="5" t="n"/>
      <c r="D56" s="7" t="n"/>
      <c r="E56" s="6">
        <f>IF(A56="","",IF(COUNT(B56:D56)&lt;3,"Pending",B56+C56*D56))</f>
        <v/>
      </c>
      <c r="F56" s="4" t="n"/>
      <c r="G56" s="1" t="n"/>
      <c r="H56" s="4" t="n"/>
      <c r="I56" s="4" t="n"/>
      <c r="J56" s="5" t="n"/>
      <c r="K56" s="5" t="n"/>
      <c r="L56" s="5" t="n"/>
      <c r="M56" s="17" t="n"/>
      <c r="N56" s="4" t="n"/>
      <c r="O56" s="5" t="n"/>
      <c r="P56" s="5" t="n"/>
      <c r="Q56" s="5" t="n"/>
      <c r="R56" s="17" t="n"/>
      <c r="S56" s="8" t="n"/>
    </row>
    <row r="57" ht="23.15" customHeight="1">
      <c r="A57" s="4" t="n"/>
      <c r="B57" s="5" t="n"/>
      <c r="C57" s="5" t="n"/>
      <c r="D57" s="7" t="n"/>
      <c r="E57" s="6">
        <f>IF(A57="","",IF(COUNT(B57:D57)&lt;3,"Pending",B57+C57*D57))</f>
        <v/>
      </c>
      <c r="F57" s="4" t="n"/>
      <c r="G57" s="1" t="n"/>
      <c r="H57" s="4" t="n"/>
      <c r="I57" s="4" t="n"/>
      <c r="J57" s="5" t="n"/>
      <c r="K57" s="5" t="n"/>
      <c r="L57" s="5" t="n"/>
      <c r="M57" s="17" t="n"/>
      <c r="N57" s="4" t="n"/>
      <c r="O57" s="5" t="n"/>
      <c r="P57" s="5" t="n"/>
      <c r="Q57" s="5" t="n"/>
      <c r="R57" s="17" t="n"/>
      <c r="S57" s="8" t="n"/>
    </row>
    <row r="58" ht="23.15" customHeight="1">
      <c r="A58" s="4" t="n"/>
      <c r="B58" s="5" t="n"/>
      <c r="C58" s="5" t="n"/>
      <c r="D58" s="7" t="n"/>
      <c r="E58" s="6">
        <f>IF(A58="","",IF(COUNT(B58:D58)&lt;3,"Pending",B58+C58*D58))</f>
        <v/>
      </c>
      <c r="F58" s="4" t="n"/>
      <c r="G58" s="1" t="n"/>
      <c r="H58" s="4" t="n"/>
      <c r="I58" s="4" t="n"/>
      <c r="J58" s="5" t="n"/>
      <c r="K58" s="5" t="n"/>
      <c r="L58" s="5" t="n"/>
      <c r="M58" s="17" t="n"/>
      <c r="N58" s="4" t="n"/>
      <c r="O58" s="5" t="n"/>
      <c r="P58" s="5" t="n"/>
      <c r="Q58" s="5" t="n"/>
      <c r="R58" s="17" t="n"/>
      <c r="S58" s="8" t="n"/>
    </row>
    <row r="59" ht="23.15" customHeight="1">
      <c r="A59" s="4" t="n"/>
      <c r="B59" s="5" t="n"/>
      <c r="C59" s="5" t="n"/>
      <c r="D59" s="7" t="n"/>
      <c r="E59" s="6">
        <f>IF(A59="","",IF(COUNT(B59:D59)&lt;3,"Pending",B59+C59*D59))</f>
        <v/>
      </c>
      <c r="F59" s="4" t="n"/>
      <c r="G59" s="1" t="n"/>
      <c r="H59" s="4" t="n"/>
      <c r="I59" s="4" t="n"/>
      <c r="J59" s="5" t="n"/>
      <c r="K59" s="5" t="n"/>
      <c r="L59" s="5" t="n"/>
      <c r="M59" s="17" t="n"/>
      <c r="N59" s="4" t="n"/>
      <c r="O59" s="5" t="n"/>
      <c r="P59" s="5" t="n"/>
      <c r="Q59" s="5" t="n"/>
      <c r="R59" s="17" t="n"/>
      <c r="S59" s="8" t="n"/>
    </row>
    <row r="60" ht="23.15" customHeight="1">
      <c r="A60" s="4" t="n"/>
      <c r="B60" s="5" t="n"/>
      <c r="C60" s="5" t="n"/>
      <c r="D60" s="7" t="n"/>
      <c r="E60" s="6">
        <f>IF(A60="","",IF(COUNT(B60:D60)&lt;3,"Pending",B60+C60*D60))</f>
        <v/>
      </c>
      <c r="F60" s="4" t="n"/>
      <c r="G60" s="1" t="n"/>
      <c r="H60" s="4" t="n"/>
      <c r="I60" s="4" t="n"/>
      <c r="J60" s="5" t="n"/>
      <c r="K60" s="5" t="n"/>
      <c r="L60" s="5" t="n"/>
      <c r="M60" s="17" t="n"/>
      <c r="N60" s="4" t="n"/>
      <c r="O60" s="5" t="n"/>
      <c r="P60" s="5" t="n"/>
      <c r="Q60" s="5" t="n"/>
      <c r="R60" s="17" t="n"/>
      <c r="S60" s="8" t="n"/>
    </row>
    <row r="61" ht="23.15" customHeight="1">
      <c r="A61" s="4" t="n"/>
      <c r="B61" s="5" t="n"/>
      <c r="C61" s="5" t="n"/>
      <c r="D61" s="7" t="n"/>
      <c r="E61" s="6">
        <f>IF(A61="","",IF(COUNT(B61:D61)&lt;3,"Pending",B61+C61*D61))</f>
        <v/>
      </c>
      <c r="F61" s="4" t="n"/>
      <c r="G61" s="1" t="n"/>
      <c r="H61" s="4" t="n"/>
      <c r="I61" s="4" t="n"/>
      <c r="J61" s="5" t="n"/>
      <c r="K61" s="5" t="n"/>
      <c r="L61" s="5" t="n"/>
      <c r="M61" s="17" t="n"/>
      <c r="N61" s="4" t="n"/>
      <c r="O61" s="5" t="n"/>
      <c r="P61" s="5" t="n"/>
      <c r="Q61" s="5" t="n"/>
      <c r="R61" s="17" t="n"/>
      <c r="S61" s="8" t="n"/>
    </row>
    <row r="62" ht="23.15" customHeight="1">
      <c r="A62" s="4" t="n"/>
      <c r="B62" s="5" t="n"/>
      <c r="C62" s="5" t="n"/>
      <c r="D62" s="7" t="n"/>
      <c r="E62" s="6">
        <f>IF(A62="","",IF(COUNT(B62:D62)&lt;3,"Pending",B62+C62*D62))</f>
        <v/>
      </c>
      <c r="F62" s="4" t="n"/>
      <c r="G62" s="1" t="n"/>
      <c r="H62" s="4" t="n"/>
      <c r="I62" s="4" t="n"/>
      <c r="J62" s="5" t="n"/>
      <c r="K62" s="5" t="n"/>
      <c r="L62" s="5" t="n"/>
      <c r="M62" s="17" t="n"/>
      <c r="N62" s="4" t="n"/>
      <c r="O62" s="5" t="n"/>
      <c r="P62" s="5" t="n"/>
      <c r="Q62" s="5" t="n"/>
      <c r="R62" s="17" t="n"/>
      <c r="S62" s="8" t="n"/>
    </row>
    <row r="63" ht="23.15" customHeight="1">
      <c r="A63" s="4" t="n"/>
      <c r="B63" s="5" t="n"/>
      <c r="C63" s="5" t="n"/>
      <c r="D63" s="7" t="n"/>
      <c r="E63" s="6">
        <f>IF(A63="","",IF(COUNT(B63:D63)&lt;3,"Pending",B63+C63*D63))</f>
        <v/>
      </c>
      <c r="F63" s="4" t="n"/>
      <c r="G63" s="1" t="n"/>
      <c r="H63" s="4" t="n"/>
      <c r="I63" s="4" t="n"/>
      <c r="J63" s="5" t="n"/>
      <c r="K63" s="5" t="n"/>
      <c r="L63" s="5" t="n"/>
      <c r="M63" s="17" t="n"/>
      <c r="N63" s="4" t="n"/>
      <c r="O63" s="5" t="n"/>
      <c r="P63" s="5" t="n"/>
      <c r="Q63" s="5" t="n"/>
      <c r="R63" s="17" t="n"/>
      <c r="S63" s="8" t="n"/>
    </row>
    <row r="64" ht="23.15" customHeight="1">
      <c r="A64" s="4" t="n"/>
      <c r="B64" s="5" t="n"/>
      <c r="C64" s="5" t="n"/>
      <c r="D64" s="7" t="n"/>
      <c r="E64" s="6">
        <f>IF(A64="","",IF(COUNT(B64:D64)&lt;3,"Pending",B64+C64*D64))</f>
        <v/>
      </c>
      <c r="F64" s="4" t="n"/>
      <c r="G64" s="1" t="n"/>
      <c r="H64" s="4" t="n"/>
      <c r="I64" s="4" t="n"/>
      <c r="J64" s="5" t="n"/>
      <c r="K64" s="5" t="n"/>
      <c r="L64" s="5" t="n"/>
      <c r="M64" s="17" t="n"/>
      <c r="N64" s="4" t="n"/>
      <c r="O64" s="5" t="n"/>
      <c r="P64" s="5" t="n"/>
      <c r="Q64" s="5" t="n"/>
      <c r="R64" s="17" t="n"/>
      <c r="S64" s="8" t="n"/>
    </row>
    <row r="65" ht="23.15" customHeight="1">
      <c r="A65" s="4" t="n"/>
      <c r="B65" s="5" t="n"/>
      <c r="C65" s="5" t="n"/>
      <c r="D65" s="7" t="n"/>
      <c r="E65" s="6">
        <f>IF(A65="","",IF(COUNT(B65:D65)&lt;3,"Pending",B65+C65*D65))</f>
        <v/>
      </c>
      <c r="F65" s="4" t="n"/>
      <c r="G65" s="1" t="n"/>
      <c r="H65" s="4" t="n"/>
      <c r="I65" s="4" t="n"/>
      <c r="J65" s="5" t="n"/>
      <c r="K65" s="5" t="n"/>
      <c r="L65" s="5" t="n"/>
      <c r="M65" s="17" t="n"/>
      <c r="N65" s="4" t="n"/>
      <c r="O65" s="5" t="n"/>
      <c r="P65" s="5" t="n"/>
      <c r="Q65" s="5" t="n"/>
      <c r="R65" s="17" t="n"/>
      <c r="S65" s="8" t="n"/>
    </row>
    <row r="66" ht="23.15" customHeight="1">
      <c r="A66" s="4" t="n"/>
      <c r="B66" s="5" t="n"/>
      <c r="C66" s="5" t="n"/>
      <c r="D66" s="7" t="n"/>
      <c r="E66" s="6">
        <f>IF(A66="","",IF(COUNT(B66:D66)&lt;3,"Pending",B66+C66*D66))</f>
        <v/>
      </c>
      <c r="F66" s="4" t="n"/>
      <c r="G66" s="1" t="n"/>
      <c r="H66" s="4" t="n"/>
      <c r="I66" s="4" t="n"/>
      <c r="J66" s="5" t="n"/>
      <c r="K66" s="5" t="n"/>
      <c r="L66" s="5" t="n"/>
      <c r="M66" s="17" t="n"/>
      <c r="N66" s="4" t="n"/>
      <c r="O66" s="5" t="n"/>
      <c r="P66" s="5" t="n"/>
      <c r="Q66" s="5" t="n"/>
      <c r="R66" s="17" t="n"/>
      <c r="S66" s="8" t="n"/>
    </row>
    <row r="67" ht="23.15" customHeight="1">
      <c r="A67" s="4" t="n"/>
      <c r="B67" s="5" t="n"/>
      <c r="C67" s="5" t="n"/>
      <c r="D67" s="7" t="n"/>
      <c r="E67" s="6">
        <f>IF(A67="","",IF(COUNT(B67:D67)&lt;3,"Pending",B67+C67*D67))</f>
        <v/>
      </c>
      <c r="F67" s="4" t="n"/>
      <c r="G67" s="1" t="n"/>
      <c r="H67" s="4" t="n"/>
      <c r="I67" s="4" t="n"/>
      <c r="J67" s="5" t="n"/>
      <c r="K67" s="5" t="n"/>
      <c r="L67" s="5" t="n"/>
      <c r="M67" s="17" t="n"/>
      <c r="N67" s="4" t="n"/>
      <c r="O67" s="5" t="n"/>
      <c r="P67" s="5" t="n"/>
      <c r="Q67" s="5" t="n"/>
      <c r="R67" s="17" t="n"/>
      <c r="S67" s="8" t="n"/>
    </row>
    <row r="68" ht="23.15" customHeight="1">
      <c r="A68" s="4" t="n"/>
      <c r="B68" s="5" t="n"/>
      <c r="C68" s="5" t="n"/>
      <c r="D68" s="7" t="n"/>
      <c r="E68" s="6">
        <f>IF(A68="","",IF(COUNT(B68:D68)&lt;3,"Pending",B68+C68*D68))</f>
        <v/>
      </c>
      <c r="F68" s="4" t="n"/>
      <c r="G68" s="1" t="n"/>
      <c r="H68" s="4" t="n"/>
      <c r="I68" s="4" t="n"/>
      <c r="J68" s="5" t="n"/>
      <c r="K68" s="5" t="n"/>
      <c r="L68" s="5" t="n"/>
      <c r="M68" s="17" t="n"/>
      <c r="N68" s="4" t="n"/>
      <c r="O68" s="5" t="n"/>
      <c r="P68" s="5" t="n"/>
      <c r="Q68" s="5" t="n"/>
      <c r="R68" s="17" t="n"/>
      <c r="S68" s="8" t="n"/>
    </row>
    <row r="69" ht="23.15" customHeight="1">
      <c r="A69" s="4" t="n"/>
      <c r="B69" s="5" t="n"/>
      <c r="C69" s="5" t="n"/>
      <c r="D69" s="7" t="n"/>
      <c r="E69" s="6">
        <f>IF(A69="","",IF(COUNT(B69:D69)&lt;3,"Pending",B69+C69*D69))</f>
        <v/>
      </c>
      <c r="F69" s="4" t="n"/>
      <c r="G69" s="1" t="n"/>
      <c r="H69" s="4" t="n"/>
      <c r="I69" s="4" t="n"/>
      <c r="J69" s="5" t="n"/>
      <c r="K69" s="5" t="n"/>
      <c r="L69" s="5" t="n"/>
      <c r="M69" s="17" t="n"/>
      <c r="N69" s="4" t="n"/>
      <c r="O69" s="5" t="n"/>
      <c r="P69" s="5" t="n"/>
      <c r="Q69" s="5" t="n"/>
      <c r="R69" s="17" t="n"/>
      <c r="S69" s="8" t="n"/>
    </row>
    <row r="70" ht="23.15" customHeight="1">
      <c r="A70" s="4" t="n"/>
      <c r="B70" s="5" t="n"/>
      <c r="C70" s="5" t="n"/>
      <c r="D70" s="7" t="n"/>
      <c r="E70" s="6">
        <f>IF(A70="","",IF(COUNT(B70:D70)&lt;3,"Pending",B70+C70*D70))</f>
        <v/>
      </c>
      <c r="F70" s="4" t="n"/>
      <c r="G70" s="1" t="n"/>
      <c r="H70" s="4" t="n"/>
      <c r="I70" s="4" t="n"/>
      <c r="J70" s="5" t="n"/>
      <c r="K70" s="5" t="n"/>
      <c r="L70" s="5" t="n"/>
      <c r="M70" s="17" t="n"/>
      <c r="N70" s="4" t="n"/>
      <c r="O70" s="5" t="n"/>
      <c r="P70" s="5" t="n"/>
      <c r="Q70" s="5" t="n"/>
      <c r="R70" s="17" t="n"/>
      <c r="S70" s="8" t="n"/>
    </row>
    <row r="71" ht="23.15" customHeight="1">
      <c r="A71" s="4" t="n"/>
      <c r="B71" s="5" t="n"/>
      <c r="C71" s="5" t="n"/>
      <c r="D71" s="7" t="n"/>
      <c r="E71" s="6">
        <f>IF(A71="","",IF(COUNT(B71:D71)&lt;3,"Pending",B71+C71*D71))</f>
        <v/>
      </c>
      <c r="F71" s="4" t="n"/>
      <c r="G71" s="1" t="n"/>
      <c r="H71" s="4" t="n"/>
      <c r="I71" s="4" t="n"/>
      <c r="J71" s="5" t="n"/>
      <c r="K71" s="5" t="n"/>
      <c r="L71" s="5" t="n"/>
      <c r="M71" s="17" t="n"/>
      <c r="N71" s="4" t="n"/>
      <c r="O71" s="5" t="n"/>
      <c r="P71" s="5" t="n"/>
      <c r="Q71" s="5" t="n"/>
      <c r="R71" s="17" t="n"/>
      <c r="S71" s="8" t="n"/>
    </row>
    <row r="72" ht="23.15" customHeight="1">
      <c r="A72" s="4" t="n"/>
      <c r="B72" s="5" t="n"/>
      <c r="C72" s="5" t="n"/>
      <c r="D72" s="7" t="n"/>
      <c r="E72" s="6">
        <f>IF(A72="","",IF(COUNT(B72:D72)&lt;3,"Pending",B72+C72*D72))</f>
        <v/>
      </c>
      <c r="F72" s="4" t="n"/>
      <c r="G72" s="1" t="n"/>
      <c r="H72" s="4" t="n"/>
      <c r="I72" s="4" t="n"/>
      <c r="J72" s="5" t="n"/>
      <c r="K72" s="5" t="n"/>
      <c r="L72" s="5" t="n"/>
      <c r="M72" s="17" t="n"/>
      <c r="N72" s="4" t="n"/>
      <c r="O72" s="5" t="n"/>
      <c r="P72" s="5" t="n"/>
      <c r="Q72" s="5" t="n"/>
      <c r="R72" s="17" t="n"/>
      <c r="S72" s="8" t="n"/>
    </row>
    <row r="73" ht="23.15" customHeight="1">
      <c r="A73" s="4" t="n"/>
      <c r="B73" s="5" t="n"/>
      <c r="C73" s="5" t="n"/>
      <c r="D73" s="7" t="n"/>
      <c r="E73" s="6">
        <f>IF(A73="","",IF(COUNT(B73:D73)&lt;3,"Pending",B73+C73*D73))</f>
        <v/>
      </c>
      <c r="F73" s="4" t="n"/>
      <c r="G73" s="1" t="n"/>
      <c r="H73" s="4" t="n"/>
      <c r="I73" s="4" t="n"/>
      <c r="J73" s="5" t="n"/>
      <c r="K73" s="5" t="n"/>
      <c r="L73" s="5" t="n"/>
      <c r="M73" s="17" t="n"/>
      <c r="N73" s="4" t="n"/>
      <c r="O73" s="5" t="n"/>
      <c r="P73" s="5" t="n"/>
      <c r="Q73" s="5" t="n"/>
      <c r="R73" s="17" t="n"/>
      <c r="S73" s="8" t="n"/>
    </row>
    <row r="74" ht="23.15" customHeight="1">
      <c r="A74" s="4" t="n"/>
      <c r="B74" s="5" t="n"/>
      <c r="C74" s="5" t="n"/>
      <c r="D74" s="7" t="n"/>
      <c r="E74" s="6">
        <f>IF(A74="","",IF(COUNT(B74:D74)&lt;3,"Pending",B74+C74*D74))</f>
        <v/>
      </c>
      <c r="F74" s="4" t="n"/>
      <c r="G74" s="1" t="n"/>
      <c r="H74" s="4" t="n"/>
      <c r="I74" s="4" t="n"/>
      <c r="J74" s="5" t="n"/>
      <c r="K74" s="5" t="n"/>
      <c r="L74" s="5" t="n"/>
      <c r="M74" s="17" t="n"/>
      <c r="N74" s="4" t="n"/>
      <c r="O74" s="5" t="n"/>
      <c r="P74" s="5" t="n"/>
      <c r="Q74" s="5" t="n"/>
      <c r="R74" s="17" t="n"/>
      <c r="S74" s="8" t="n"/>
    </row>
    <row r="75" ht="23.15" customHeight="1">
      <c r="A75" s="4" t="n"/>
      <c r="B75" s="5" t="n"/>
      <c r="C75" s="5" t="n"/>
      <c r="D75" s="7" t="n"/>
      <c r="E75" s="6">
        <f>IF(A75="","",IF(COUNT(B75:D75)&lt;3,"Pending",B75+C75*D75))</f>
        <v/>
      </c>
      <c r="F75" s="4" t="n"/>
      <c r="G75" s="1" t="n"/>
      <c r="H75" s="4" t="n"/>
      <c r="I75" s="4" t="n"/>
      <c r="J75" s="5" t="n"/>
      <c r="K75" s="5" t="n"/>
      <c r="L75" s="5" t="n"/>
      <c r="M75" s="17" t="n"/>
      <c r="N75" s="4" t="n"/>
      <c r="O75" s="5" t="n"/>
      <c r="P75" s="5" t="n"/>
      <c r="Q75" s="5" t="n"/>
      <c r="R75" s="17" t="n"/>
      <c r="S75" s="8" t="n"/>
    </row>
    <row r="76" ht="23.15" customHeight="1">
      <c r="A76" s="4" t="n"/>
      <c r="B76" s="5" t="n"/>
      <c r="C76" s="5" t="n"/>
      <c r="D76" s="7" t="n"/>
      <c r="E76" s="6">
        <f>IF(A76="","",IF(COUNT(B76:D76)&lt;3,"Pending",B76+C76*D76))</f>
        <v/>
      </c>
      <c r="F76" s="4" t="n"/>
      <c r="G76" s="1" t="n"/>
      <c r="H76" s="4" t="n"/>
      <c r="I76" s="4" t="n"/>
      <c r="J76" s="5" t="n"/>
      <c r="K76" s="5" t="n"/>
      <c r="L76" s="5" t="n"/>
      <c r="M76" s="17" t="n"/>
      <c r="N76" s="4" t="n"/>
      <c r="O76" s="5" t="n"/>
      <c r="P76" s="5" t="n"/>
      <c r="Q76" s="5" t="n"/>
      <c r="R76" s="17" t="n"/>
      <c r="S76" s="8" t="n"/>
    </row>
    <row r="77" ht="23.15" customHeight="1">
      <c r="A77" s="4" t="n"/>
      <c r="B77" s="5" t="n"/>
      <c r="C77" s="5" t="n"/>
      <c r="D77" s="7" t="n"/>
      <c r="E77" s="6">
        <f>IF(A77="","",IF(COUNT(B77:D77)&lt;3,"Pending",B77+C77*D77))</f>
        <v/>
      </c>
      <c r="F77" s="4" t="n"/>
      <c r="G77" s="1" t="n"/>
      <c r="H77" s="4" t="n"/>
      <c r="I77" s="4" t="n"/>
      <c r="J77" s="5" t="n"/>
      <c r="K77" s="5" t="n"/>
      <c r="L77" s="5" t="n"/>
      <c r="M77" s="17" t="n"/>
      <c r="N77" s="4" t="n"/>
      <c r="O77" s="5" t="n"/>
      <c r="P77" s="5" t="n"/>
      <c r="Q77" s="5" t="n"/>
      <c r="R77" s="17" t="n"/>
      <c r="S77" s="8" t="n"/>
    </row>
    <row r="78" ht="23.15" customHeight="1">
      <c r="A78" s="4" t="n"/>
      <c r="B78" s="5" t="n"/>
      <c r="C78" s="5" t="n"/>
      <c r="D78" s="7" t="n"/>
      <c r="E78" s="6">
        <f>IF(A78="","",IF(COUNT(B78:D78)&lt;3,"Pending",B78+C78*D78))</f>
        <v/>
      </c>
      <c r="F78" s="4" t="n"/>
      <c r="G78" s="1" t="n"/>
      <c r="H78" s="4" t="n"/>
      <c r="I78" s="4" t="n"/>
      <c r="J78" s="5" t="n"/>
      <c r="K78" s="5" t="n"/>
      <c r="L78" s="5" t="n"/>
      <c r="M78" s="17" t="n"/>
      <c r="N78" s="4" t="n"/>
      <c r="O78" s="5" t="n"/>
      <c r="P78" s="5" t="n"/>
      <c r="Q78" s="5" t="n"/>
      <c r="R78" s="17" t="n"/>
      <c r="S78" s="8" t="n"/>
    </row>
    <row r="79" ht="23.15" customHeight="1">
      <c r="A79" s="4" t="n"/>
      <c r="B79" s="5" t="n"/>
      <c r="C79" s="5" t="n"/>
      <c r="D79" s="7" t="n"/>
      <c r="E79" s="6">
        <f>IF(A79="","",IF(COUNT(B79:D79)&lt;3,"Pending",B79+C79*D79))</f>
        <v/>
      </c>
      <c r="F79" s="4" t="n"/>
      <c r="G79" s="1" t="n"/>
      <c r="H79" s="4" t="n"/>
      <c r="I79" s="4" t="n"/>
      <c r="J79" s="5" t="n"/>
      <c r="K79" s="5" t="n"/>
      <c r="L79" s="5" t="n"/>
      <c r="M79" s="17" t="n"/>
      <c r="N79" s="4" t="n"/>
      <c r="O79" s="5" t="n"/>
      <c r="P79" s="5" t="n"/>
      <c r="Q79" s="5" t="n"/>
      <c r="R79" s="17" t="n"/>
      <c r="S79" s="8" t="n"/>
    </row>
    <row r="80" ht="23.15" customHeight="1">
      <c r="A80" s="4" t="n"/>
      <c r="B80" s="5" t="n"/>
      <c r="C80" s="5" t="n"/>
      <c r="D80" s="7" t="n"/>
      <c r="E80" s="6">
        <f>IF(A80="","",IF(COUNT(B80:D80)&lt;3,"Pending",B80+C80*D80))</f>
        <v/>
      </c>
      <c r="F80" s="4" t="n"/>
      <c r="G80" s="1" t="n"/>
      <c r="H80" s="4" t="n"/>
      <c r="I80" s="4" t="n"/>
      <c r="J80" s="5" t="n"/>
      <c r="K80" s="5" t="n"/>
      <c r="L80" s="5" t="n"/>
      <c r="M80" s="17" t="n"/>
      <c r="N80" s="4" t="n"/>
      <c r="O80" s="5" t="n"/>
      <c r="P80" s="5" t="n"/>
      <c r="Q80" s="5" t="n"/>
      <c r="R80" s="17" t="n"/>
      <c r="S80" s="8" t="n"/>
    </row>
    <row r="81" ht="23.15" customHeight="1">
      <c r="A81" s="4" t="n"/>
      <c r="B81" s="5" t="n"/>
      <c r="C81" s="5" t="n"/>
      <c r="D81" s="7" t="n"/>
      <c r="E81" s="6">
        <f>IF(A81="","",IF(COUNT(B81:D81)&lt;3,"Pending",B81+C81*D81))</f>
        <v/>
      </c>
      <c r="F81" s="4" t="n"/>
      <c r="G81" s="1" t="n"/>
      <c r="H81" s="4" t="n"/>
      <c r="I81" s="4" t="n"/>
      <c r="J81" s="5" t="n"/>
      <c r="K81" s="5" t="n"/>
      <c r="L81" s="5" t="n"/>
      <c r="M81" s="17" t="n"/>
      <c r="N81" s="4" t="n"/>
      <c r="O81" s="5" t="n"/>
      <c r="P81" s="5" t="n"/>
      <c r="Q81" s="5" t="n"/>
      <c r="R81" s="17" t="n"/>
      <c r="S81" s="8" t="n"/>
    </row>
    <row r="82" ht="23.15" customHeight="1">
      <c r="A82" s="4" t="n"/>
      <c r="B82" s="5" t="n"/>
      <c r="C82" s="5" t="n"/>
      <c r="D82" s="7" t="n"/>
      <c r="E82" s="6">
        <f>IF(A82="","",IF(COUNT(B82:D82)&lt;3,"Pending",B82+C82*D82))</f>
        <v/>
      </c>
      <c r="F82" s="4" t="n"/>
      <c r="G82" s="1" t="n"/>
      <c r="H82" s="4" t="n"/>
      <c r="I82" s="4" t="n"/>
      <c r="J82" s="5" t="n"/>
      <c r="K82" s="5" t="n"/>
      <c r="L82" s="5" t="n"/>
      <c r="M82" s="17" t="n"/>
      <c r="N82" s="4" t="n"/>
      <c r="O82" s="5" t="n"/>
      <c r="P82" s="5" t="n"/>
      <c r="Q82" s="5" t="n"/>
      <c r="R82" s="17" t="n"/>
      <c r="S82" s="8" t="n"/>
    </row>
    <row r="83" ht="23.15" customHeight="1">
      <c r="A83" s="4" t="n"/>
      <c r="B83" s="5" t="n"/>
      <c r="C83" s="5" t="n"/>
      <c r="D83" s="7" t="n"/>
      <c r="E83" s="6">
        <f>IF(A83="","",IF(COUNT(B83:D83)&lt;3,"Pending",B83+C83*D83))</f>
        <v/>
      </c>
      <c r="F83" s="4" t="n"/>
      <c r="G83" s="1" t="n"/>
      <c r="H83" s="4" t="n"/>
      <c r="I83" s="4" t="n"/>
      <c r="J83" s="5" t="n"/>
      <c r="K83" s="5" t="n"/>
      <c r="L83" s="5" t="n"/>
      <c r="M83" s="17" t="n"/>
      <c r="N83" s="4" t="n"/>
      <c r="O83" s="5" t="n"/>
      <c r="P83" s="5" t="n"/>
      <c r="Q83" s="5" t="n"/>
      <c r="R83" s="17" t="n"/>
      <c r="S83" s="8" t="n"/>
    </row>
    <row r="84" ht="23.15" customHeight="1">
      <c r="A84" s="4" t="n"/>
      <c r="B84" s="5" t="n"/>
      <c r="C84" s="5" t="n"/>
      <c r="D84" s="7" t="n"/>
      <c r="E84" s="6">
        <f>IF(A84="","",IF(COUNT(B84:D84)&lt;3,"Pending",B84+C84*D84))</f>
        <v/>
      </c>
      <c r="F84" s="4" t="n"/>
      <c r="G84" s="1" t="n"/>
      <c r="H84" s="4" t="n"/>
      <c r="I84" s="4" t="n"/>
      <c r="J84" s="5" t="n"/>
      <c r="K84" s="5" t="n"/>
      <c r="L84" s="5" t="n"/>
      <c r="M84" s="17" t="n"/>
      <c r="N84" s="4" t="n"/>
      <c r="O84" s="5" t="n"/>
      <c r="P84" s="5" t="n"/>
      <c r="Q84" s="5" t="n"/>
      <c r="R84" s="17" t="n"/>
      <c r="S84" s="8" t="n"/>
    </row>
    <row r="85" ht="23.15" customHeight="1">
      <c r="A85" s="4" t="n"/>
      <c r="B85" s="5" t="n"/>
      <c r="C85" s="5" t="n"/>
      <c r="D85" s="7" t="n"/>
      <c r="E85" s="6">
        <f>IF(A85="","",IF(COUNT(B85:D85)&lt;3,"Pending",B85+C85*D85))</f>
        <v/>
      </c>
      <c r="F85" s="4" t="n"/>
      <c r="G85" s="1" t="n"/>
      <c r="H85" s="4" t="n"/>
      <c r="I85" s="4" t="n"/>
      <c r="J85" s="5" t="n"/>
      <c r="K85" s="5" t="n"/>
      <c r="L85" s="5" t="n"/>
      <c r="M85" s="17" t="n"/>
      <c r="N85" s="4" t="n"/>
      <c r="O85" s="5" t="n"/>
      <c r="P85" s="5" t="n"/>
      <c r="Q85" s="5" t="n"/>
      <c r="R85" s="17" t="n"/>
      <c r="S85" s="8" t="n"/>
    </row>
    <row r="86" ht="23.15" customHeight="1">
      <c r="A86" s="4" t="n"/>
      <c r="B86" s="5" t="n"/>
      <c r="C86" s="5" t="n"/>
      <c r="D86" s="7" t="n"/>
      <c r="E86" s="6">
        <f>IF(A86="","",IF(COUNT(B86:D86)&lt;3,"Pending",B86+C86*D86))</f>
        <v/>
      </c>
      <c r="F86" s="4" t="n"/>
      <c r="G86" s="1" t="n"/>
      <c r="H86" s="4" t="n"/>
      <c r="I86" s="4" t="n"/>
      <c r="J86" s="5" t="n"/>
      <c r="K86" s="5" t="n"/>
      <c r="L86" s="5" t="n"/>
      <c r="M86" s="17" t="n"/>
      <c r="N86" s="4" t="n"/>
      <c r="O86" s="5" t="n"/>
      <c r="P86" s="5" t="n"/>
      <c r="Q86" s="5" t="n"/>
      <c r="R86" s="17" t="n"/>
      <c r="S86" s="8" t="n"/>
    </row>
    <row r="87" ht="23.15" customHeight="1">
      <c r="A87" s="4" t="n"/>
      <c r="B87" s="5" t="n"/>
      <c r="C87" s="5" t="n"/>
      <c r="D87" s="7" t="n"/>
      <c r="E87" s="6">
        <f>IF(A87="","",IF(COUNT(B87:D87)&lt;3,"Pending",B87+C87*D87))</f>
        <v/>
      </c>
      <c r="F87" s="4" t="n"/>
      <c r="G87" s="1" t="n"/>
      <c r="H87" s="4" t="n"/>
      <c r="I87" s="4" t="n"/>
      <c r="J87" s="5" t="n"/>
      <c r="K87" s="5" t="n"/>
      <c r="L87" s="5" t="n"/>
      <c r="M87" s="17" t="n"/>
      <c r="N87" s="4" t="n"/>
      <c r="O87" s="5" t="n"/>
      <c r="P87" s="5" t="n"/>
      <c r="Q87" s="5" t="n"/>
      <c r="R87" s="17" t="n"/>
      <c r="S87" s="8" t="n"/>
    </row>
    <row r="88" ht="23.15" customHeight="1">
      <c r="A88" s="4" t="n"/>
      <c r="B88" s="5" t="n"/>
      <c r="C88" s="5" t="n"/>
      <c r="D88" s="7" t="n"/>
      <c r="E88" s="6">
        <f>IF(A88="","",IF(COUNT(B88:D88)&lt;3,"Pending",B88+C88*D88))</f>
        <v/>
      </c>
      <c r="F88" s="4" t="n"/>
      <c r="G88" s="1" t="n"/>
      <c r="H88" s="4" t="n"/>
      <c r="I88" s="4" t="n"/>
      <c r="J88" s="5" t="n"/>
      <c r="K88" s="5" t="n"/>
      <c r="L88" s="5" t="n"/>
      <c r="M88" s="17" t="n"/>
      <c r="N88" s="4" t="n"/>
      <c r="O88" s="5" t="n"/>
      <c r="P88" s="5" t="n"/>
      <c r="Q88" s="5" t="n"/>
      <c r="R88" s="17" t="n"/>
      <c r="S88" s="8" t="n"/>
    </row>
    <row r="89" ht="23.15" customHeight="1">
      <c r="A89" s="4" t="n"/>
      <c r="B89" s="5" t="n"/>
      <c r="C89" s="5" t="n"/>
      <c r="D89" s="7" t="n"/>
      <c r="E89" s="6">
        <f>IF(A89="","",IF(COUNT(B89:D89)&lt;3,"Pending",B89+C89*D89))</f>
        <v/>
      </c>
      <c r="F89" s="4" t="n"/>
      <c r="G89" s="1" t="n"/>
      <c r="H89" s="4" t="n"/>
      <c r="I89" s="4" t="n"/>
      <c r="J89" s="5" t="n"/>
      <c r="K89" s="5" t="n"/>
      <c r="L89" s="5" t="n"/>
      <c r="M89" s="17" t="n"/>
      <c r="N89" s="4" t="n"/>
      <c r="O89" s="5" t="n"/>
      <c r="P89" s="5" t="n"/>
      <c r="Q89" s="5" t="n"/>
      <c r="R89" s="17" t="n"/>
      <c r="S89" s="8" t="n"/>
    </row>
    <row r="90" ht="23.15" customHeight="1">
      <c r="A90" s="4" t="n"/>
      <c r="B90" s="5" t="n"/>
      <c r="C90" s="5" t="n"/>
      <c r="D90" s="7" t="n"/>
      <c r="E90" s="6">
        <f>IF(A90="","",IF(COUNT(B90:D90)&lt;3,"Pending",B90+C90*D90))</f>
        <v/>
      </c>
      <c r="F90" s="4" t="n"/>
      <c r="G90" s="1" t="n"/>
      <c r="H90" s="4" t="n"/>
      <c r="I90" s="4" t="n"/>
      <c r="J90" s="5" t="n"/>
      <c r="K90" s="5" t="n"/>
      <c r="L90" s="5" t="n"/>
      <c r="M90" s="17" t="n"/>
      <c r="N90" s="4" t="n"/>
      <c r="O90" s="5" t="n"/>
      <c r="P90" s="5" t="n"/>
      <c r="Q90" s="5" t="n"/>
      <c r="R90" s="17" t="n"/>
      <c r="S90" s="8" t="n"/>
    </row>
    <row r="91" ht="23.15" customHeight="1">
      <c r="A91" s="4" t="n"/>
      <c r="B91" s="5" t="n"/>
      <c r="C91" s="5" t="n"/>
      <c r="D91" s="7" t="n"/>
      <c r="E91" s="6">
        <f>IF(A91="","",IF(COUNT(B91:D91)&lt;3,"Pending",B91+C91*D91))</f>
        <v/>
      </c>
      <c r="F91" s="4" t="n"/>
      <c r="G91" s="1" t="n"/>
      <c r="H91" s="4" t="n"/>
      <c r="I91" s="4" t="n"/>
      <c r="J91" s="5" t="n"/>
      <c r="K91" s="5" t="n"/>
      <c r="L91" s="5" t="n"/>
      <c r="M91" s="17" t="n"/>
      <c r="N91" s="4" t="n"/>
      <c r="O91" s="5" t="n"/>
      <c r="P91" s="5" t="n"/>
      <c r="Q91" s="5" t="n"/>
      <c r="R91" s="17" t="n"/>
      <c r="S91" s="8" t="n"/>
    </row>
    <row r="92" ht="23.15" customHeight="1">
      <c r="A92" s="4" t="n"/>
      <c r="B92" s="5" t="n"/>
      <c r="C92" s="5" t="n"/>
      <c r="D92" s="7" t="n"/>
      <c r="E92" s="6">
        <f>IF(A92="","",IF(COUNT(B92:D92)&lt;3,"Pending",B92+C92*D92))</f>
        <v/>
      </c>
      <c r="F92" s="4" t="n"/>
      <c r="G92" s="1" t="n"/>
      <c r="H92" s="4" t="n"/>
      <c r="I92" s="4" t="n"/>
      <c r="J92" s="5" t="n"/>
      <c r="K92" s="5" t="n"/>
      <c r="L92" s="5" t="n"/>
      <c r="M92" s="17" t="n"/>
      <c r="N92" s="4" t="n"/>
      <c r="O92" s="5" t="n"/>
      <c r="P92" s="5" t="n"/>
      <c r="Q92" s="5" t="n"/>
      <c r="R92" s="17" t="n"/>
      <c r="S92" s="8" t="n"/>
    </row>
    <row r="93" ht="23.15" customHeight="1">
      <c r="A93" s="4" t="n"/>
      <c r="B93" s="5" t="n"/>
      <c r="C93" s="5" t="n"/>
      <c r="D93" s="7" t="n"/>
      <c r="E93" s="6">
        <f>IF(A93="","",IF(COUNT(B93:D93)&lt;3,"Pending",B93+C93*D93))</f>
        <v/>
      </c>
      <c r="F93" s="4" t="n"/>
      <c r="G93" s="1" t="n"/>
      <c r="H93" s="4" t="n"/>
      <c r="I93" s="4" t="n"/>
      <c r="J93" s="5" t="n"/>
      <c r="K93" s="5" t="n"/>
      <c r="L93" s="5" t="n"/>
      <c r="M93" s="17" t="n"/>
      <c r="N93" s="4" t="n"/>
      <c r="O93" s="5" t="n"/>
      <c r="P93" s="5" t="n"/>
      <c r="Q93" s="5" t="n"/>
      <c r="R93" s="17" t="n"/>
      <c r="S93" s="8" t="n"/>
    </row>
    <row r="94" ht="23.15" customHeight="1">
      <c r="A94" s="4" t="n"/>
      <c r="B94" s="5" t="n"/>
      <c r="C94" s="5" t="n"/>
      <c r="D94" s="7" t="n"/>
      <c r="E94" s="6">
        <f>IF(A94="","",IF(COUNT(B94:D94)&lt;3,"Pending",B94+C94*D94))</f>
        <v/>
      </c>
      <c r="F94" s="4" t="n"/>
      <c r="G94" s="1" t="n"/>
      <c r="H94" s="4" t="n"/>
      <c r="I94" s="4" t="n"/>
      <c r="J94" s="5" t="n"/>
      <c r="K94" s="5" t="n"/>
      <c r="L94" s="5" t="n"/>
      <c r="M94" s="17" t="n"/>
      <c r="N94" s="4" t="n"/>
      <c r="O94" s="5" t="n"/>
      <c r="P94" s="5" t="n"/>
      <c r="Q94" s="5" t="n"/>
      <c r="R94" s="17" t="n"/>
      <c r="S94" s="8" t="n"/>
    </row>
    <row r="95" ht="23.15" customHeight="1">
      <c r="A95" s="4" t="n"/>
      <c r="B95" s="5" t="n"/>
      <c r="C95" s="5" t="n"/>
      <c r="D95" s="7" t="n"/>
      <c r="E95" s="6">
        <f>IF(A95="","",IF(COUNT(B95:D95)&lt;3,"Pending",B95+C95*D95))</f>
        <v/>
      </c>
      <c r="F95" s="4" t="n"/>
      <c r="G95" s="1" t="n"/>
      <c r="H95" s="4" t="n"/>
      <c r="I95" s="4" t="n"/>
      <c r="J95" s="5" t="n"/>
      <c r="K95" s="5" t="n"/>
      <c r="L95" s="5" t="n"/>
      <c r="M95" s="17" t="n"/>
      <c r="N95" s="4" t="n"/>
      <c r="O95" s="5" t="n"/>
      <c r="P95" s="5" t="n"/>
      <c r="Q95" s="5" t="n"/>
      <c r="R95" s="17" t="n"/>
      <c r="S95" s="8" t="n"/>
    </row>
    <row r="96" ht="23.15" customHeight="1">
      <c r="A96" s="4" t="n"/>
      <c r="B96" s="5" t="n"/>
      <c r="C96" s="5" t="n"/>
      <c r="D96" s="7" t="n"/>
      <c r="E96" s="6">
        <f>IF(A96="","",IF(COUNT(B96:D96)&lt;3,"Pending",B96+C96*D96))</f>
        <v/>
      </c>
      <c r="F96" s="4" t="n"/>
      <c r="G96" s="1" t="n"/>
      <c r="H96" s="4" t="n"/>
      <c r="I96" s="4" t="n"/>
      <c r="J96" s="5" t="n"/>
      <c r="K96" s="5" t="n"/>
      <c r="L96" s="5" t="n"/>
      <c r="M96" s="17" t="n"/>
      <c r="N96" s="4" t="n"/>
      <c r="O96" s="5" t="n"/>
      <c r="P96" s="5" t="n"/>
      <c r="Q96" s="5" t="n"/>
      <c r="R96" s="17" t="n"/>
      <c r="S96" s="8" t="n"/>
    </row>
    <row r="97" ht="23.15" customHeight="1">
      <c r="A97" s="4" t="n"/>
      <c r="B97" s="5" t="n"/>
      <c r="C97" s="5" t="n"/>
      <c r="D97" s="7" t="n"/>
      <c r="E97" s="6">
        <f>IF(A97="","",IF(COUNT(B97:D97)&lt;3,"Pending",B97+C97*D97))</f>
        <v/>
      </c>
      <c r="F97" s="4" t="n"/>
      <c r="G97" s="1" t="n"/>
      <c r="H97" s="4" t="n"/>
      <c r="I97" s="4" t="n"/>
      <c r="J97" s="5" t="n"/>
      <c r="K97" s="5" t="n"/>
      <c r="L97" s="5" t="n"/>
      <c r="M97" s="17" t="n"/>
      <c r="N97" s="4" t="n"/>
      <c r="O97" s="5" t="n"/>
      <c r="P97" s="5" t="n"/>
      <c r="Q97" s="5" t="n"/>
      <c r="R97" s="17" t="n"/>
      <c r="S97" s="8" t="n"/>
    </row>
    <row r="98" ht="23.15" customHeight="1">
      <c r="A98" s="4" t="n"/>
      <c r="B98" s="5" t="n"/>
      <c r="C98" s="5" t="n"/>
      <c r="D98" s="7" t="n"/>
      <c r="E98" s="6">
        <f>IF(A98="","",IF(COUNT(B98:D98)&lt;3,"Pending",B98+C98*D98))</f>
        <v/>
      </c>
      <c r="F98" s="4" t="n"/>
      <c r="G98" s="1" t="n"/>
      <c r="H98" s="4" t="n"/>
      <c r="I98" s="4" t="n"/>
      <c r="J98" s="5" t="n"/>
      <c r="K98" s="5" t="n"/>
      <c r="L98" s="5" t="n"/>
      <c r="M98" s="17" t="n"/>
      <c r="N98" s="4" t="n"/>
      <c r="O98" s="5" t="n"/>
      <c r="P98" s="5" t="n"/>
      <c r="Q98" s="5" t="n"/>
      <c r="R98" s="17" t="n"/>
      <c r="S98" s="8" t="n"/>
    </row>
    <row r="99" ht="23.15" customHeight="1">
      <c r="A99" s="4" t="n"/>
      <c r="B99" s="5" t="n"/>
      <c r="C99" s="5" t="n"/>
      <c r="D99" s="7" t="n"/>
      <c r="E99" s="6">
        <f>IF(A99="","",IF(COUNT(B99:D99)&lt;3,"Pending",B99+C99*D99))</f>
        <v/>
      </c>
      <c r="F99" s="4" t="n"/>
      <c r="G99" s="1" t="n"/>
      <c r="H99" s="4" t="n"/>
      <c r="I99" s="4" t="n"/>
      <c r="J99" s="5" t="n"/>
      <c r="K99" s="5" t="n"/>
      <c r="L99" s="5" t="n"/>
      <c r="M99" s="17" t="n"/>
      <c r="N99" s="4" t="n"/>
      <c r="O99" s="5" t="n"/>
      <c r="P99" s="5" t="n"/>
      <c r="Q99" s="5" t="n"/>
      <c r="R99" s="17" t="n"/>
      <c r="S99" s="8" t="n"/>
    </row>
    <row r="100" ht="23.15" customHeight="1">
      <c r="A100" s="4" t="n"/>
      <c r="B100" s="5" t="n"/>
      <c r="C100" s="5" t="n"/>
      <c r="D100" s="7" t="n"/>
      <c r="E100" s="6">
        <f>IF(A100="","",IF(COUNT(B100:D100)&lt;3,"Pending",B100+C100*D100))</f>
        <v/>
      </c>
      <c r="F100" s="4" t="n"/>
      <c r="G100" s="1" t="n"/>
      <c r="H100" s="4" t="n"/>
      <c r="I100" s="4" t="n"/>
      <c r="J100" s="5" t="n"/>
      <c r="K100" s="5" t="n"/>
      <c r="L100" s="5" t="n"/>
      <c r="M100" s="17" t="n"/>
      <c r="N100" s="4" t="n"/>
      <c r="O100" s="5" t="n"/>
      <c r="P100" s="5" t="n"/>
      <c r="Q100" s="5" t="n"/>
      <c r="R100" s="17" t="n"/>
      <c r="S100" s="8" t="n"/>
    </row>
    <row r="101" ht="23.15" customHeight="1">
      <c r="A101" s="4" t="n"/>
      <c r="B101" s="5" t="n"/>
      <c r="C101" s="5" t="n"/>
      <c r="D101" s="7" t="n"/>
      <c r="E101" s="6">
        <f>IF(A101="","",IF(COUNT(B101:D101)&lt;3,"Pending",B101+C101*D101))</f>
        <v/>
      </c>
      <c r="F101" s="4" t="n"/>
      <c r="G101" s="1" t="n"/>
      <c r="H101" s="4" t="n"/>
      <c r="I101" s="4" t="n"/>
      <c r="J101" s="5" t="n"/>
      <c r="K101" s="5" t="n"/>
      <c r="L101" s="5" t="n"/>
      <c r="M101" s="17" t="n"/>
      <c r="N101" s="4" t="n"/>
      <c r="O101" s="5" t="n"/>
      <c r="P101" s="5" t="n"/>
      <c r="Q101" s="5" t="n"/>
      <c r="R101" s="17" t="n"/>
      <c r="S101" s="8" t="n"/>
    </row>
    <row r="102" ht="23.15" customHeight="1">
      <c r="A102" s="4" t="n"/>
      <c r="B102" s="5" t="n"/>
      <c r="C102" s="5" t="n"/>
      <c r="D102" s="7" t="n"/>
      <c r="E102" s="6">
        <f>IF(A102="","",IF(COUNT(B102:D102)&lt;3,"Pending",B102+C102*D102))</f>
        <v/>
      </c>
      <c r="F102" s="4" t="n"/>
      <c r="G102" s="1" t="n"/>
      <c r="H102" s="4" t="n"/>
      <c r="I102" s="4" t="n"/>
      <c r="J102" s="5" t="n"/>
      <c r="K102" s="5" t="n"/>
      <c r="L102" s="5" t="n"/>
      <c r="M102" s="17" t="n"/>
      <c r="N102" s="4" t="n"/>
      <c r="O102" s="5" t="n"/>
      <c r="P102" s="5" t="n"/>
      <c r="Q102" s="5" t="n"/>
      <c r="R102" s="17" t="n"/>
      <c r="S102" s="8" t="n"/>
    </row>
    <row r="103" ht="23.15" customHeight="1">
      <c r="A103" s="4" t="n"/>
      <c r="B103" s="5" t="n"/>
      <c r="C103" s="5" t="n"/>
      <c r="D103" s="7" t="n"/>
      <c r="E103" s="6">
        <f>IF(A103="","",IF(COUNT(B103:D103)&lt;3,"Pending",B103+C103*D103))</f>
        <v/>
      </c>
      <c r="F103" s="4" t="n"/>
      <c r="G103" s="1" t="n"/>
      <c r="H103" s="4" t="n"/>
      <c r="I103" s="4" t="n"/>
      <c r="J103" s="5" t="n"/>
      <c r="K103" s="5" t="n"/>
      <c r="L103" s="5" t="n"/>
      <c r="M103" s="17" t="n"/>
      <c r="N103" s="4" t="n"/>
      <c r="O103" s="5" t="n"/>
      <c r="P103" s="5" t="n"/>
      <c r="Q103" s="5" t="n"/>
      <c r="R103" s="17" t="n"/>
      <c r="S103" s="8" t="n"/>
    </row>
    <row r="104" ht="23.15" customHeight="1">
      <c r="A104" s="4" t="n"/>
      <c r="B104" s="5" t="n"/>
      <c r="C104" s="5" t="n"/>
      <c r="D104" s="7" t="n"/>
      <c r="E104" s="6">
        <f>IF(A104="","",IF(COUNT(B104:D104)&lt;3,"Pending",B104+C104*D104))</f>
        <v/>
      </c>
      <c r="F104" s="4" t="n"/>
      <c r="G104" s="1" t="n"/>
      <c r="H104" s="4" t="n"/>
      <c r="I104" s="4" t="n"/>
      <c r="J104" s="5" t="n"/>
      <c r="K104" s="5" t="n"/>
      <c r="L104" s="5" t="n"/>
      <c r="M104" s="17" t="n"/>
      <c r="N104" s="4" t="n"/>
      <c r="O104" s="5" t="n"/>
      <c r="P104" s="5" t="n"/>
      <c r="Q104" s="5" t="n"/>
      <c r="R104" s="17" t="n"/>
      <c r="S104" s="8" t="n"/>
    </row>
    <row r="105" ht="23.15" customHeight="1">
      <c r="A105" s="4" t="n"/>
      <c r="B105" s="5" t="n"/>
      <c r="C105" s="5" t="n"/>
      <c r="D105" s="7" t="n"/>
      <c r="E105" s="6">
        <f>IF(A105="","",IF(COUNT(B105:D105)&lt;3,"Pending",B105+C105*D105))</f>
        <v/>
      </c>
      <c r="F105" s="4" t="n"/>
      <c r="G105" s="1" t="n"/>
      <c r="H105" s="4" t="n"/>
      <c r="I105" s="4" t="n"/>
      <c r="J105" s="5" t="n"/>
      <c r="K105" s="5" t="n"/>
      <c r="L105" s="5" t="n"/>
      <c r="M105" s="17" t="n"/>
      <c r="N105" s="4" t="n"/>
      <c r="O105" s="5" t="n"/>
      <c r="P105" s="5" t="n"/>
      <c r="Q105" s="5" t="n"/>
      <c r="R105" s="17" t="n"/>
      <c r="S105" s="8" t="n"/>
    </row>
    <row r="106" ht="23.15" customHeight="1">
      <c r="A106" s="4" t="n"/>
      <c r="B106" s="5" t="n"/>
      <c r="C106" s="5" t="n"/>
      <c r="D106" s="7" t="n"/>
      <c r="E106" s="6">
        <f>IF(A106="","",IF(COUNT(B106:D106)&lt;3,"Pending",B106+C106*D106))</f>
        <v/>
      </c>
      <c r="F106" s="4" t="n"/>
      <c r="G106" s="1" t="n"/>
      <c r="H106" s="4" t="n"/>
      <c r="I106" s="4" t="n"/>
      <c r="J106" s="5" t="n"/>
      <c r="K106" s="5" t="n"/>
      <c r="L106" s="5" t="n"/>
      <c r="M106" s="17" t="n"/>
      <c r="N106" s="4" t="n"/>
      <c r="O106" s="5" t="n"/>
      <c r="P106" s="5" t="n"/>
      <c r="Q106" s="5" t="n"/>
      <c r="R106" s="17" t="n"/>
      <c r="S106" s="8" t="n"/>
    </row>
    <row r="107" ht="23.15" customHeight="1">
      <c r="A107" s="4" t="n"/>
      <c r="B107" s="5" t="n"/>
      <c r="C107" s="5" t="n"/>
      <c r="D107" s="7" t="n"/>
      <c r="E107" s="6">
        <f>IF(A107="","",IF(COUNT(B107:D107)&lt;3,"Pending",B107+C107*D107))</f>
        <v/>
      </c>
      <c r="F107" s="4" t="n"/>
      <c r="G107" s="1" t="n"/>
      <c r="H107" s="4" t="n"/>
      <c r="I107" s="4" t="n"/>
      <c r="J107" s="5" t="n"/>
      <c r="K107" s="5" t="n"/>
      <c r="L107" s="5" t="n"/>
      <c r="M107" s="17" t="n"/>
      <c r="N107" s="4" t="n"/>
      <c r="O107" s="5" t="n"/>
      <c r="P107" s="5" t="n"/>
      <c r="Q107" s="5" t="n"/>
      <c r="R107" s="17" t="n"/>
      <c r="S107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2026-10-25T23:14:06Z</dcterms:created>
  <dcterms:modified xsi:type="dcterms:W3CDTF">2026-10-26T13:31:01Z</dcterms:modified>
  <cp:lastModifiedBy>David Black</cp:lastModifiedBy>
</cp:coreProperties>
</file>