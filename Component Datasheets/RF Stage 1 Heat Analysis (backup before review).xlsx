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black\Desktop\ODINN\Design Activity\_Switch Matrix\"/>
    </mc:Choice>
  </mc:AlternateContent>
  <xr:revisionPtr revIDLastSave="0" documentId="13_ncr:1_{99425475-C647-4628-B030-5E1370B1FC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witch Matrix" sheetId="2" r:id="rId1"/>
    <sheet name="Component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" i="6" l="1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I70" i="2"/>
  <c r="G70" i="2"/>
  <c r="F70" i="2" s="1"/>
  <c r="E70" i="2"/>
  <c r="C70" i="2"/>
  <c r="I69" i="2"/>
  <c r="G69" i="2"/>
  <c r="F69" i="2" s="1"/>
  <c r="E69" i="2"/>
  <c r="C69" i="2"/>
  <c r="I68" i="2"/>
  <c r="G68" i="2"/>
  <c r="F68" i="2" s="1"/>
  <c r="E68" i="2"/>
  <c r="C68" i="2"/>
  <c r="I67" i="2"/>
  <c r="G67" i="2"/>
  <c r="F67" i="2"/>
  <c r="E67" i="2"/>
  <c r="C67" i="2"/>
  <c r="I66" i="2"/>
  <c r="G66" i="2"/>
  <c r="F66" i="2" s="1"/>
  <c r="E66" i="2"/>
  <c r="C66" i="2"/>
  <c r="I65" i="2"/>
  <c r="G65" i="2"/>
  <c r="F65" i="2" s="1"/>
  <c r="E65" i="2"/>
  <c r="C65" i="2"/>
  <c r="I64" i="2"/>
  <c r="G64" i="2"/>
  <c r="F64" i="2"/>
  <c r="E64" i="2"/>
  <c r="C64" i="2"/>
  <c r="I63" i="2"/>
  <c r="G63" i="2"/>
  <c r="F63" i="2" s="1"/>
  <c r="E63" i="2"/>
  <c r="C63" i="2"/>
  <c r="I62" i="2"/>
  <c r="G62" i="2"/>
  <c r="F62" i="2" s="1"/>
  <c r="E62" i="2"/>
  <c r="C62" i="2"/>
  <c r="I61" i="2"/>
  <c r="G61" i="2"/>
  <c r="F61" i="2" s="1"/>
  <c r="E61" i="2"/>
  <c r="C61" i="2"/>
  <c r="I60" i="2"/>
  <c r="G60" i="2"/>
  <c r="F60" i="2" s="1"/>
  <c r="E60" i="2"/>
  <c r="C60" i="2"/>
  <c r="I59" i="2"/>
  <c r="G59" i="2"/>
  <c r="F59" i="2" s="1"/>
  <c r="E59" i="2"/>
  <c r="C59" i="2"/>
  <c r="I58" i="2"/>
  <c r="G58" i="2"/>
  <c r="F58" i="2" s="1"/>
  <c r="E58" i="2"/>
  <c r="C58" i="2"/>
  <c r="I57" i="2"/>
  <c r="G57" i="2"/>
  <c r="F57" i="2" s="1"/>
  <c r="E57" i="2"/>
  <c r="C57" i="2"/>
  <c r="I56" i="2"/>
  <c r="G56" i="2"/>
  <c r="F56" i="2" s="1"/>
  <c r="E56" i="2"/>
  <c r="C56" i="2"/>
  <c r="I55" i="2"/>
  <c r="G55" i="2"/>
  <c r="F55" i="2"/>
  <c r="E55" i="2"/>
  <c r="C55" i="2"/>
  <c r="I54" i="2"/>
  <c r="G54" i="2"/>
  <c r="F54" i="2" s="1"/>
  <c r="E54" i="2"/>
  <c r="C54" i="2"/>
  <c r="I53" i="2"/>
  <c r="G53" i="2"/>
  <c r="F53" i="2" s="1"/>
  <c r="E53" i="2"/>
  <c r="C53" i="2"/>
  <c r="I52" i="2"/>
  <c r="G52" i="2"/>
  <c r="F52" i="2" s="1"/>
  <c r="E52" i="2"/>
  <c r="C52" i="2"/>
  <c r="I51" i="2"/>
  <c r="G51" i="2"/>
  <c r="F51" i="2" s="1"/>
  <c r="E51" i="2"/>
  <c r="C51" i="2"/>
  <c r="I50" i="2"/>
  <c r="G50" i="2"/>
  <c r="F50" i="2" s="1"/>
  <c r="E50" i="2"/>
  <c r="C50" i="2"/>
  <c r="I49" i="2"/>
  <c r="G49" i="2"/>
  <c r="F49" i="2" s="1"/>
  <c r="E49" i="2"/>
  <c r="C49" i="2"/>
  <c r="I48" i="2"/>
  <c r="G48" i="2"/>
  <c r="F48" i="2" s="1"/>
  <c r="E48" i="2"/>
  <c r="C48" i="2"/>
  <c r="I47" i="2"/>
  <c r="G47" i="2"/>
  <c r="F47" i="2" s="1"/>
  <c r="E47" i="2"/>
  <c r="C47" i="2"/>
  <c r="I46" i="2"/>
  <c r="G46" i="2"/>
  <c r="F46" i="2" s="1"/>
  <c r="E46" i="2"/>
  <c r="C46" i="2"/>
  <c r="I45" i="2"/>
  <c r="G45" i="2"/>
  <c r="F45" i="2" s="1"/>
  <c r="E45" i="2"/>
  <c r="C45" i="2"/>
  <c r="I44" i="2"/>
  <c r="G44" i="2"/>
  <c r="F44" i="2" s="1"/>
  <c r="E44" i="2"/>
  <c r="C44" i="2"/>
  <c r="I43" i="2"/>
  <c r="G43" i="2"/>
  <c r="F43" i="2" s="1"/>
  <c r="E43" i="2"/>
  <c r="C43" i="2"/>
  <c r="I42" i="2"/>
  <c r="G42" i="2"/>
  <c r="F42" i="2" s="1"/>
  <c r="E42" i="2"/>
  <c r="C42" i="2"/>
  <c r="I41" i="2"/>
  <c r="G41" i="2"/>
  <c r="F41" i="2"/>
  <c r="E41" i="2"/>
  <c r="C41" i="2"/>
  <c r="I40" i="2"/>
  <c r="G40" i="2"/>
  <c r="F40" i="2" s="1"/>
  <c r="E40" i="2"/>
  <c r="C40" i="2"/>
  <c r="I39" i="2"/>
  <c r="G39" i="2"/>
  <c r="F39" i="2"/>
  <c r="E39" i="2"/>
  <c r="C39" i="2"/>
  <c r="I38" i="2"/>
  <c r="G38" i="2"/>
  <c r="F38" i="2" s="1"/>
  <c r="E38" i="2"/>
  <c r="C38" i="2"/>
  <c r="I37" i="2"/>
  <c r="G37" i="2"/>
  <c r="F37" i="2" s="1"/>
  <c r="E37" i="2"/>
  <c r="C37" i="2"/>
  <c r="I36" i="2"/>
  <c r="G36" i="2"/>
  <c r="F36" i="2" s="1"/>
  <c r="E36" i="2"/>
  <c r="C36" i="2"/>
  <c r="I35" i="2"/>
  <c r="G35" i="2"/>
  <c r="F35" i="2" s="1"/>
  <c r="E35" i="2"/>
  <c r="C35" i="2"/>
  <c r="I34" i="2"/>
  <c r="G34" i="2"/>
  <c r="F34" i="2" s="1"/>
  <c r="E34" i="2"/>
  <c r="C34" i="2"/>
  <c r="I33" i="2"/>
  <c r="G33" i="2"/>
  <c r="F33" i="2" s="1"/>
  <c r="E33" i="2"/>
  <c r="C33" i="2"/>
  <c r="I32" i="2"/>
  <c r="G32" i="2"/>
  <c r="F32" i="2" s="1"/>
  <c r="E32" i="2"/>
  <c r="C32" i="2"/>
  <c r="I31" i="2"/>
  <c r="G31" i="2"/>
  <c r="F31" i="2" s="1"/>
  <c r="E31" i="2"/>
  <c r="C31" i="2"/>
  <c r="I30" i="2"/>
  <c r="G30" i="2"/>
  <c r="F30" i="2"/>
  <c r="E30" i="2"/>
  <c r="C30" i="2"/>
  <c r="I29" i="2"/>
  <c r="G29" i="2"/>
  <c r="F29" i="2" s="1"/>
  <c r="E29" i="2"/>
  <c r="C29" i="2"/>
  <c r="I28" i="2"/>
  <c r="G28" i="2"/>
  <c r="F28" i="2" s="1"/>
  <c r="E28" i="2"/>
  <c r="C28" i="2"/>
  <c r="I27" i="2"/>
  <c r="G27" i="2"/>
  <c r="F27" i="2" s="1"/>
  <c r="E27" i="2"/>
  <c r="C27" i="2"/>
  <c r="I26" i="2"/>
  <c r="G26" i="2"/>
  <c r="F26" i="2" s="1"/>
  <c r="E26" i="2"/>
  <c r="C26" i="2"/>
  <c r="I25" i="2"/>
  <c r="G25" i="2"/>
  <c r="F25" i="2" s="1"/>
  <c r="E25" i="2"/>
  <c r="C25" i="2"/>
  <c r="I24" i="2"/>
  <c r="G24" i="2"/>
  <c r="F24" i="2" s="1"/>
  <c r="E24" i="2"/>
  <c r="C24" i="2"/>
  <c r="I23" i="2"/>
  <c r="G23" i="2"/>
  <c r="F23" i="2" s="1"/>
  <c r="E23" i="2"/>
  <c r="C23" i="2"/>
  <c r="I22" i="2"/>
  <c r="G22" i="2"/>
  <c r="F22" i="2" s="1"/>
  <c r="E22" i="2"/>
  <c r="C22" i="2"/>
  <c r="I21" i="2"/>
  <c r="G21" i="2"/>
  <c r="F21" i="2"/>
  <c r="E21" i="2"/>
  <c r="C21" i="2"/>
  <c r="I20" i="2"/>
  <c r="G20" i="2"/>
  <c r="F20" i="2" s="1"/>
  <c r="E20" i="2"/>
  <c r="C20" i="2"/>
  <c r="I19" i="2"/>
  <c r="G19" i="2"/>
  <c r="F19" i="2"/>
  <c r="E19" i="2"/>
  <c r="C19" i="2"/>
  <c r="I18" i="2"/>
  <c r="G18" i="2"/>
  <c r="F18" i="2" s="1"/>
  <c r="E18" i="2"/>
  <c r="C18" i="2"/>
  <c r="I17" i="2"/>
  <c r="G17" i="2"/>
  <c r="F17" i="2" s="1"/>
  <c r="E17" i="2"/>
  <c r="C17" i="2"/>
  <c r="I16" i="2"/>
  <c r="G16" i="2"/>
  <c r="F16" i="2" s="1"/>
  <c r="E16" i="2"/>
  <c r="C16" i="2"/>
  <c r="I15" i="2"/>
  <c r="G15" i="2"/>
  <c r="F15" i="2"/>
  <c r="E15" i="2"/>
  <c r="C15" i="2"/>
  <c r="I14" i="2"/>
  <c r="G14" i="2"/>
  <c r="F14" i="2" s="1"/>
  <c r="E14" i="2"/>
  <c r="C14" i="2"/>
  <c r="I13" i="2"/>
  <c r="G13" i="2"/>
  <c r="F13" i="2" s="1"/>
  <c r="C13" i="2"/>
  <c r="E13" i="2" s="1"/>
  <c r="I12" i="2"/>
  <c r="G12" i="2"/>
  <c r="F12" i="2" s="1"/>
  <c r="C12" i="2"/>
  <c r="E12" i="2" s="1"/>
  <c r="I11" i="2"/>
  <c r="C11" i="2"/>
  <c r="E11" i="2" s="1"/>
  <c r="G11" i="2" s="1"/>
  <c r="F11" i="2" s="1"/>
  <c r="B5" i="2" l="1"/>
  <c r="B4" i="2"/>
</calcChain>
</file>

<file path=xl/sharedStrings.xml><?xml version="1.0" encoding="utf-8"?>
<sst xmlns="http://schemas.openxmlformats.org/spreadsheetml/2006/main" count="101" uniqueCount="96">
  <si>
    <t>Enclosure name</t>
  </si>
  <si>
    <t>Enclosure 1 heat analysis</t>
  </si>
  <si>
    <t>Known heat subtotal (W)</t>
  </si>
  <si>
    <t>Total status</t>
  </si>
  <si>
    <t>1. Select a component in column A.  2. Enter quantity in B.  3. Review the heat basis in I.</t>
  </si>
  <si>
    <t>Optional: enter actual W/unit in D. Blank uses the catalog; zero is a valid override. Amber = editable.</t>
  </si>
  <si>
    <t>60 rows per enclosure. Duplicate this tab for another enclosure; add a link on Summary if needed.</t>
  </si>
  <si>
    <t>Component / operating case</t>
  </si>
  <si>
    <t>Quantity</t>
  </si>
  <si>
    <t>Catalog W/unit</t>
  </si>
  <si>
    <t>Override W/unit</t>
  </si>
  <si>
    <t>Applied W/unit</t>
  </si>
  <si>
    <t>Total heat W</t>
  </si>
  <si>
    <t>Row status</t>
  </si>
  <si>
    <t>Basis / notes</t>
  </si>
  <si>
    <t>Component heat catalog</t>
  </si>
  <si>
    <t>Amber cells are editable. Per-unit heat = DC heat + reference RF input x heat fraction.</t>
  </si>
  <si>
    <t>RF reference powers are examples or rated inputs, NOT verified system operating powers. Review before fan sizing.</t>
  </si>
  <si>
    <t>Add new unique part names in rows 8-107. Enclosure lists and lookups already cover these rows.</t>
  </si>
  <si>
    <t>DC heat W/unit</t>
  </si>
  <si>
    <t>Reference RF W/unit</t>
  </si>
  <si>
    <t>RF heat fraction</t>
  </si>
  <si>
    <t>Heat W/unit</t>
  </si>
  <si>
    <t>Basis / limitations</t>
  </si>
  <si>
    <t>Source</t>
  </si>
  <si>
    <t>MSP2TA-18-12+ (energized)</t>
  </si>
  <si>
    <t>12 V x 0.430 A; continuously energized. RF default 0 W; add through-path RF and absorbed isolated-port power if significant.</t>
  </si>
  <si>
    <t>MSP2TA-18-12+.pdf, p.2; 0.5 dB maximum through loss</t>
  </si>
  <si>
    <t>MSP2TA-18-12+ (de-energized)</t>
  </si>
  <si>
    <t>Coil off. RF default 0 W; add RF loss / internal termination heat as applicable.</t>
  </si>
  <si>
    <t>MSP2TA-18-12+.pdf, p.2</t>
  </si>
  <si>
    <t>ZFL-1000+</t>
  </si>
  <si>
    <t>15 V x 105 mA DC budget; RF output subtraction neglected.</t>
  </si>
  <si>
    <t>ZFL-1000+.pdf, p.1</t>
  </si>
  <si>
    <t>ZVA-443X+</t>
  </si>
  <si>
    <t>5 V x 150 mA maximum current; DC heat budget, RF output subtraction neglected.</t>
  </si>
  <si>
    <t>ZVA-443X+.pdf, p.2</t>
  </si>
  <si>
    <t>ZX76-31A-PNS+</t>
  </si>
  <si>
    <t>Maximum supply voltages/currents; assumes all +24 dBm RF input absorbed at high attenuation. Control-driver heat separate.</t>
  </si>
  <si>
    <t>ZX76-31A-PNS+.pdf, pp.2-3</t>
  </si>
  <si>
    <t>TTL-1SP8T-183</t>
  </si>
  <si>
    <t>Nominal +/-5 V x 200/25 mA maximum currents. RF loss and isolated-port dissipation not included.</t>
  </si>
  <si>
    <t>TTL-1SP8T-183.pdf, p.3</t>
  </si>
  <si>
    <t>ANNE-50+</t>
  </si>
  <si>
    <t>Assumes 1 W RF fully absorbed; check temperature derating (0.35 W rating at 100 C).</t>
  </si>
  <si>
    <t>ANNE-50+.pdf, p.1</t>
  </si>
  <si>
    <t>ZUDC10-5R23-S+</t>
  </si>
  <si>
    <t>1 W RF example, 0.9 dB mainline loss. Upper estimate: coupled/reflected output is not internal heat.</t>
  </si>
  <si>
    <t>ZUDC10-5R23-S+.pdf, electrical specifications</t>
  </si>
  <si>
    <t>ZVDC-20-0123+</t>
  </si>
  <si>
    <t>1 W RF example, 1.0 dB mainline loss. Upper estimate: coupled/reflected output is not internal heat.</t>
  </si>
  <si>
    <t>ZVDC-20-0123+.pdf, electrical specifications</t>
  </si>
  <si>
    <t>ZFDC-20-5+</t>
  </si>
  <si>
    <t>1 W RF example, mid-band 1.4 dB maximum mainline loss. Check actual band / input power limit. Coupled power included in bound.</t>
  </si>
  <si>
    <t>ZFDC-20-5+.pdf, electrical specifications</t>
  </si>
  <si>
    <t>CS18SR5</t>
  </si>
  <si>
    <t>1 W RF example; both matched outputs; 6.5 dB loss to EACH output. Reflected input included in conservative bound.</t>
  </si>
  <si>
    <t>CS18SR5.pdf, electrical table (previously reviewed)</t>
  </si>
  <si>
    <t>CS0520S</t>
  </si>
  <si>
    <t>1 W RF example; 0.5 dB interpreted as excess loss over ideal split. Confirm manufacturer definition. Matched outputs.</t>
  </si>
  <si>
    <t>CS0520S(1).pdf, electrical table (previously reviewed)</t>
  </si>
  <si>
    <t>SB-SF50-27+</t>
  </si>
  <si>
    <t>1 W RF example; 0.21 dB maximum at 18-27 GHz. Reflected input included in conservative bound.</t>
  </si>
  <si>
    <t>SB-SF50-27+.pdf, p.1 (previously reviewed)</t>
  </si>
  <si>
    <t>PD-0500-2S (1-250 MHz)</t>
  </si>
  <si>
    <t>8 W rated input, matched loads; 0.4 dB treated as excess loss.</t>
  </si>
  <si>
    <t>PD-0500-2S(1).pdf, p.1 (previously reviewed)</t>
  </si>
  <si>
    <t>PD-0500-2S (250-500 MHz)</t>
  </si>
  <si>
    <t>8 W rated input, matched loads; 1.0 dB treated as excess loss.</t>
  </si>
  <si>
    <t>PD-E000-2S</t>
  </si>
  <si>
    <t>10 W input example at rated power; matched-load estimate using 0.4 dB excess loss.</t>
  </si>
  <si>
    <t>PD-E000-2S(1).pdf, p.1 (previously reviewed)</t>
  </si>
  <si>
    <t>PD-F000-2S</t>
  </si>
  <si>
    <t>10 W input example at rated power; matched-load estimate using 0.6 dB excess loss.</t>
  </si>
  <si>
    <t>PD-F000-2S(1).pdf, p.1 (previously reviewed)</t>
  </si>
  <si>
    <t>PD-S000-2S</t>
  </si>
  <si>
    <t>10 W input example at rated power; matched-load estimate using 1.3 dB excess loss.</t>
  </si>
  <si>
    <t>PD-S000-2S(1).pdf, p.1 (previously reviewed)</t>
  </si>
  <si>
    <t>PS-D000-2S</t>
  </si>
  <si>
    <t>20 W input example at rated power; matched-load estimate using 0.35 dB excess loss.</t>
  </si>
  <si>
    <t>PS-D000-2S(1).pdf, p.1 (previously reviewed)</t>
  </si>
  <si>
    <t>TPD00180A8</t>
  </si>
  <si>
    <t>Pending: insertion-loss wording inconsistent; enter verified heat override.</t>
  </si>
  <si>
    <t>TPD00180A8 datasheet; earlier review</t>
  </si>
  <si>
    <t>ZX10R-2-183-S+</t>
  </si>
  <si>
    <t>Pending: actual splitter/combiner operating powers needed. 0.6 W dissipation rating is a limit, not operating heat.</t>
  </si>
  <si>
    <t>ZX10R-2-183-S+.pdf; earlier review</t>
  </si>
  <si>
    <t>50P-2101</t>
  </si>
  <si>
    <t>Pending verification of datasheet; use a verified per-unit override.</t>
  </si>
  <si>
    <t>Prior discussion; datasheet not available in this batch</t>
  </si>
  <si>
    <t>Enter component description in Notes and verified heat in Override W/unit.</t>
  </si>
  <si>
    <t>User input</t>
  </si>
  <si>
    <t>Switch Matrix</t>
  </si>
  <si>
    <t>BW-S0.5W2+</t>
  </si>
  <si>
    <t>RFLT8WDC40G</t>
  </si>
  <si>
    <t>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</si>
</sst>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>
    <font>
      <sz val="11"/>
      <name val="Carlito"/>
    </font>
    <font>
      <sz val="11"/>
      <color rgb="FF243347"/>
      <name val="Arial"/>
    </font>
    <font>
      <b/>
      <sz val="16"/>
      <color rgb="FF243C59"/>
      <name val="Arial"/>
    </font>
    <font>
      <b/>
      <sz val="11"/>
      <color rgb="FFFFFFFF"/>
      <name val="Arial"/>
    </font>
    <font>
      <b/>
      <sz val="11"/>
      <color rgb="FF243347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C5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1" fillId="3" borderId="0" xfId="0" applyFont="1" applyFill="1"/>
    <xf numFmtId="164" fontId="1" fillId="3" borderId="0" xfId="0" applyNumberFormat="1" applyFont="1" applyFill="1"/>
    <xf numFmtId="164" fontId="1" fillId="0" borderId="0" xfId="0" applyNumberFormat="1" applyFont="1"/>
    <xf numFmtId="165" fontId="1" fillId="3" borderId="0" xfId="0" applyNumberFormat="1" applyFont="1" applyFill="1"/>
    <xf numFmtId="0" fontId="1" fillId="3" borderId="0" xfId="0" applyFont="1" applyFill="1" applyAlignment="1">
      <alignment wrapText="1"/>
    </xf>
    <xf numFmtId="0" fontId="4" fillId="0" borderId="0" xfId="0" applyFont="1"/>
    <xf numFmtId="164" fontId="4" fillId="0" borderId="0" xfId="0" applyNumberFormat="1" applyFont="1"/>
    <xf numFmtId="1" fontId="1" fillId="3" borderId="0" xfId="0" applyNumberFormat="1" applyFont="1" applyFill="1"/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A52222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3C59"/>
  </sheetPr>
  <dimension ref="A1:I70"/>
  <sheetViews>
    <sheetView showGridLines="0" tabSelected="1" workbookViewId="0">
      <pane ySplit="10" topLeftCell="A11" activePane="bottomLeft" state="frozen"/>
      <selection pane="bottomLeft" activeCell="G4" sqref="G4"/>
    </sheetView>
  </sheetViews>
  <sheetFormatPr defaultRowHeight="14.25"/>
  <cols>
    <col min="1" max="1" width="38" customWidth="1"/>
    <col min="2" max="2" width="20.875" bestFit="1" customWidth="1"/>
    <col min="3" max="3" width="15" customWidth="1"/>
    <col min="4" max="4" width="16" customWidth="1"/>
    <col min="5" max="5" width="15" customWidth="1"/>
    <col min="6" max="6" width="16" customWidth="1"/>
    <col min="7" max="7" width="23" customWidth="1"/>
    <col min="8" max="8" width="3" customWidth="1"/>
    <col min="9" max="9" width="65" customWidth="1"/>
  </cols>
  <sheetData>
    <row r="1" spans="1:9" ht="23.1" customHeight="1">
      <c r="A1" s="1"/>
      <c r="B1" s="1"/>
      <c r="C1" s="1"/>
      <c r="D1" s="1"/>
      <c r="E1" s="1"/>
      <c r="F1" s="1"/>
      <c r="G1" s="1"/>
      <c r="H1" s="1"/>
      <c r="I1" s="1"/>
    </row>
    <row r="2" spans="1:9" ht="23.1" customHeight="1">
      <c r="A2" s="2" t="s">
        <v>1</v>
      </c>
      <c r="B2" s="1"/>
      <c r="C2" s="1"/>
      <c r="D2" s="1"/>
      <c r="E2" s="1"/>
      <c r="F2" s="1"/>
      <c r="G2" s="1"/>
      <c r="H2" s="1"/>
      <c r="I2" s="1"/>
    </row>
    <row r="3" spans="1:9" ht="23.1" customHeight="1">
      <c r="A3" s="1" t="s">
        <v>0</v>
      </c>
      <c r="B3" s="13" t="s">
        <v>92</v>
      </c>
      <c r="C3" s="13"/>
      <c r="D3" s="13" t="s">
        <v>95</v>
      </c>
      <c r="E3" s="1"/>
      <c r="F3" s="1"/>
      <c r="G3" s="1"/>
      <c r="H3" s="1"/>
      <c r="I3" s="1"/>
    </row>
    <row r="4" spans="1:9" ht="23.1" customHeight="1">
      <c r="A4" s="9" t="s">
        <v>2</v>
      </c>
      <c r="B4" s="10">
        <f>SUM(F11:F70)</f>
        <v>19.371119999999998</v>
      </c>
      <c r="C4" s="1"/>
      <c r="D4" s="1"/>
      <c r="E4" s="1"/>
      <c r="F4" s="1"/>
      <c r="G4" s="1"/>
      <c r="H4" s="1"/>
      <c r="I4" s="1"/>
    </row>
    <row r="5" spans="1:9" ht="23.1" customHeight="1">
      <c r="A5" s="1" t="s">
        <v>3</v>
      </c>
      <c r="B5" s="1" t="str">
        <f>IF(COUNTA(A11:A70)=0,"No components",IF(E4&gt;0,"Incomplete","Calculated; review basis"))</f>
        <v>Calculated; review basis</v>
      </c>
      <c r="C5" s="1"/>
      <c r="D5" s="1"/>
      <c r="E5" s="1"/>
      <c r="F5" s="1"/>
      <c r="G5" s="1"/>
      <c r="H5" s="1"/>
      <c r="I5" s="1"/>
    </row>
    <row r="6" spans="1:9" ht="23.1" customHeight="1">
      <c r="A6" s="1"/>
      <c r="B6" s="1"/>
      <c r="C6" s="1"/>
      <c r="D6" s="1"/>
      <c r="E6" s="1"/>
      <c r="F6" s="1"/>
      <c r="G6" s="1"/>
      <c r="H6" s="1"/>
      <c r="I6" s="1"/>
    </row>
    <row r="7" spans="1:9" ht="23.1" customHeight="1">
      <c r="A7" s="1" t="s">
        <v>4</v>
      </c>
      <c r="B7" s="1"/>
      <c r="C7" s="1"/>
      <c r="D7" s="1"/>
      <c r="E7" s="1"/>
      <c r="F7" s="1"/>
      <c r="G7" s="1"/>
      <c r="H7" s="1"/>
      <c r="I7" s="1"/>
    </row>
    <row r="8" spans="1:9" ht="23.1" customHeight="1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ht="23.1" customHeight="1">
      <c r="A9" s="1" t="s">
        <v>6</v>
      </c>
      <c r="B9" s="1"/>
      <c r="C9" s="1"/>
      <c r="D9" s="1"/>
      <c r="E9" s="1"/>
      <c r="F9" s="1"/>
      <c r="G9" s="1"/>
      <c r="H9" s="1"/>
      <c r="I9" s="1"/>
    </row>
    <row r="10" spans="1:9" ht="33.950000000000003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1"/>
      <c r="I10" s="3" t="s">
        <v>14</v>
      </c>
    </row>
    <row r="11" spans="1:9" ht="48" customHeight="1">
      <c r="A11" s="4" t="s">
        <v>40</v>
      </c>
      <c r="B11" s="11">
        <v>8</v>
      </c>
      <c r="C11" s="6">
        <f>IF(A11="","",IF(COUNTIF(Components!$A$8:$A$107,A11)&lt;&gt;1,"Pending",VLOOKUP(A11,Components!$A$8:$F$107,5,FALSE)))</f>
        <v>1.125</v>
      </c>
      <c r="D11" s="5"/>
      <c r="E11" s="6">
        <f t="shared" ref="E11:E42" si="0">IF(A11="","",IF(ISBLANK(D11),C11,IF(AND(ISNUMBER(D11),D11&gt;=0),D11,"Pending")))</f>
        <v>1.125</v>
      </c>
      <c r="F11" s="6">
        <f t="shared" ref="F11:F42" si="1">IF(OR(G11="Catalog basis",G11="Override used"),B11*E11,"")</f>
        <v>9</v>
      </c>
      <c r="G11" s="1" t="str">
        <f>IF(A11="",IF(OR(NOT(ISBLANK(B11)),NOT(ISBLANK(D11))),"Needs component",""),IF(COUNTIF(Components!$A$8:$A$107,A11)&lt;&gt;1,"Invalid component",IF(ISBLANK(B11),"Needs quantity",IF(NOT(ISNUMBER(B11)),"Invalid quantity",IF(OR(B11&lt;0,B11&lt;&gt;INT(B11)),"Invalid quantity",IF(NOT(ISNUMBER(E11)),"Needs heat input",IF(NOT(ISBLANK(D11)),"Override used","Catalog basis")))))))</f>
        <v>Catalog basis</v>
      </c>
      <c r="H11" s="1"/>
      <c r="I11" s="12" t="str">
        <f>IF(A11="","",IF(COUNTIF(Components!$A$8:$A$107,A11)&lt;&gt;1,"Select a unique catalog component",VLOOKUP(A11,Components!$A$8:$F$107,6,FALSE)))</f>
        <v>Nominal +/-5 V x 200/25 mA maximum currents. RF loss and isolated-port dissipation not included.</v>
      </c>
    </row>
    <row r="12" spans="1:9" ht="48" customHeight="1">
      <c r="A12" s="4" t="s">
        <v>93</v>
      </c>
      <c r="B12" s="11">
        <v>8</v>
      </c>
      <c r="C12" s="6">
        <f>IF(A12="","",IF(COUNTIF(Components!$A$8:$A$107,A12)&lt;&gt;1,"Pending",VLOOKUP(A12,Components!$A$8:$F$107,5,FALSE)))</f>
        <v>0.33648</v>
      </c>
      <c r="D12" s="5"/>
      <c r="E12" s="6">
        <f t="shared" si="0"/>
        <v>0.33648</v>
      </c>
      <c r="F12" s="6">
        <f t="shared" si="1"/>
        <v>2.69184</v>
      </c>
      <c r="G12" s="1" t="str">
        <f>IF(A12="",IF(OR(NOT(ISBLANK(B12)),NOT(ISBLANK(D12))),"Needs component",""),IF(COUNTIF(Components!$A$8:$A$107,A12)&lt;&gt;1,"Invalid component",IF(ISBLANK(B12),"Needs quantity",IF(NOT(ISNUMBER(B12)),"Invalid quantity",IF(OR(B12&lt;0,B12&lt;&gt;INT(B12)),"Invalid quantity",IF(NOT(ISNUMBER(E12)),"Needs heat input",IF(NOT(ISBLANK(D12)),"Override used","Catalog basis")))))))</f>
        <v>Catalog basis</v>
      </c>
      <c r="H12" s="1"/>
      <c r="I12" s="12" t="str">
        <f>IF(A12="","",IF(COUNTIF(Components!$A$8:$A$107,A12)&lt;&gt;1,"Select a unique catalog component",VLOOKUP(A12,Components!$A$8:$F$107,6,FALSE)))</f>
        <v>Enter component description in Notes and verified heat in Override W/unit.</v>
      </c>
    </row>
    <row r="13" spans="1:9" ht="48" customHeight="1">
      <c r="A13" s="4" t="s">
        <v>94</v>
      </c>
      <c r="B13" s="11">
        <v>8</v>
      </c>
      <c r="C13" s="6">
        <f>IF(A13="","",IF(COUNTIF(Components!$A$8:$A$107,A13)&lt;&gt;1,"Pending",VLOOKUP(A13,Components!$A$8:$F$107,5,FALSE)))</f>
        <v>0.95991000000000004</v>
      </c>
      <c r="D13" s="5"/>
      <c r="E13" s="6">
        <f t="shared" si="0"/>
        <v>0.95991000000000004</v>
      </c>
      <c r="F13" s="6">
        <f t="shared" si="1"/>
        <v>7.6792800000000003</v>
      </c>
      <c r="G13" s="1" t="str">
        <f>IF(A13="",IF(OR(NOT(ISBLANK(B13)),NOT(ISBLANK(D13))),"Needs component",""),IF(COUNTIF(Components!$A$8:$A$107,A13)&lt;&gt;1,"Invalid component",IF(ISBLANK(B13),"Needs quantity",IF(NOT(ISNUMBER(B13)),"Invalid quantity",IF(OR(B13&lt;0,B13&lt;&gt;INT(B13)),"Invalid quantity",IF(NOT(ISNUMBER(E13)),"Needs heat input",IF(NOT(ISBLANK(D13)),"Override used","Catalog basis")))))))</f>
        <v>Catalog basis</v>
      </c>
      <c r="H13" s="1"/>
      <c r="I13" s="12">
        <f>IF(A13="","",IF(COUNTIF(Components!$A$8:$A$107,A13)&lt;&gt;1,"Select a unique catalog component",VLOOKUP(A13,Components!$A$8:$F$107,6,FALSE)))</f>
        <v>0</v>
      </c>
    </row>
    <row r="14" spans="1:9" ht="48" customHeight="1">
      <c r="A14" s="4"/>
      <c r="B14" s="11"/>
      <c r="C14" s="6" t="str">
        <f>IF(A14="","",IF(COUNTIF(Components!$A$8:$A$107,A14)&lt;&gt;1,"Pending",VLOOKUP(A14,Components!$A$8:$F$107,5,FALSE)))</f>
        <v/>
      </c>
      <c r="D14" s="5"/>
      <c r="E14" s="6" t="str">
        <f t="shared" si="0"/>
        <v/>
      </c>
      <c r="F14" s="6" t="str">
        <f t="shared" si="1"/>
        <v/>
      </c>
      <c r="G14" s="1" t="str">
        <f>IF(A14="",IF(OR(NOT(ISBLANK(B14)),NOT(ISBLANK(D14))),"Needs component",""),IF(COUNTIF(Components!$A$8:$A$107,A14)&lt;&gt;1,"Invalid component",IF(ISBLANK(B14),"Needs quantity",IF(NOT(ISNUMBER(B14)),"Invalid quantity",IF(OR(B14&lt;0,B14&lt;&gt;INT(B14)),"Invalid quantity",IF(NOT(ISNUMBER(E14)),"Needs heat input",IF(NOT(ISBLANK(D14)),"Override used","Catalog basis")))))))</f>
        <v/>
      </c>
      <c r="H14" s="1"/>
      <c r="I14" s="12" t="str">
        <f>IF(A14="","",IF(COUNTIF(Components!$A$8:$A$107,A14)&lt;&gt;1,"Select a unique catalog component",VLOOKUP(A14,Components!$A$8:$F$107,6,FALSE)))</f>
        <v/>
      </c>
    </row>
    <row r="15" spans="1:9" ht="48" customHeight="1">
      <c r="A15" s="4"/>
      <c r="B15" s="11"/>
      <c r="C15" s="6" t="str">
        <f>IF(A15="","",IF(COUNTIF(Components!$A$8:$A$107,A15)&lt;&gt;1,"Pending",VLOOKUP(A15,Components!$A$8:$F$107,5,FALSE)))</f>
        <v/>
      </c>
      <c r="D15" s="5"/>
      <c r="E15" s="6" t="str">
        <f t="shared" si="0"/>
        <v/>
      </c>
      <c r="F15" s="6" t="str">
        <f t="shared" si="1"/>
        <v/>
      </c>
      <c r="G15" s="1" t="str">
        <f>IF(A15="",IF(OR(NOT(ISBLANK(B15)),NOT(ISBLANK(D15))),"Needs component",""),IF(COUNTIF(Components!$A$8:$A$107,A15)&lt;&gt;1,"Invalid component",IF(ISBLANK(B15),"Needs quantity",IF(NOT(ISNUMBER(B15)),"Invalid quantity",IF(OR(B15&lt;0,B15&lt;&gt;INT(B15)),"Invalid quantity",IF(NOT(ISNUMBER(E15)),"Needs heat input",IF(NOT(ISBLANK(D15)),"Override used","Catalog basis")))))))</f>
        <v/>
      </c>
      <c r="H15" s="1"/>
      <c r="I15" s="12" t="str">
        <f>IF(A15="","",IF(COUNTIF(Components!$A$8:$A$107,A15)&lt;&gt;1,"Select a unique catalog component",VLOOKUP(A15,Components!$A$8:$F$107,6,FALSE)))</f>
        <v/>
      </c>
    </row>
    <row r="16" spans="1:9" ht="48" customHeight="1">
      <c r="A16" s="4"/>
      <c r="B16" s="11"/>
      <c r="C16" s="6" t="str">
        <f>IF(A16="","",IF(COUNTIF(Components!$A$8:$A$107,A16)&lt;&gt;1,"Pending",VLOOKUP(A16,Components!$A$8:$F$107,5,FALSE)))</f>
        <v/>
      </c>
      <c r="D16" s="5"/>
      <c r="E16" s="6" t="str">
        <f t="shared" si="0"/>
        <v/>
      </c>
      <c r="F16" s="6" t="str">
        <f t="shared" si="1"/>
        <v/>
      </c>
      <c r="G16" s="1" t="str">
        <f>IF(A16="",IF(OR(NOT(ISBLANK(B16)),NOT(ISBLANK(D16))),"Needs component",""),IF(COUNTIF(Components!$A$8:$A$107,A16)&lt;&gt;1,"Invalid component",IF(ISBLANK(B16),"Needs quantity",IF(NOT(ISNUMBER(B16)),"Invalid quantity",IF(OR(B16&lt;0,B16&lt;&gt;INT(B16)),"Invalid quantity",IF(NOT(ISNUMBER(E16)),"Needs heat input",IF(NOT(ISBLANK(D16)),"Override used","Catalog basis")))))))</f>
        <v/>
      </c>
      <c r="H16" s="1"/>
      <c r="I16" s="12" t="str">
        <f>IF(A16="","",IF(COUNTIF(Components!$A$8:$A$107,A16)&lt;&gt;1,"Select a unique catalog component",VLOOKUP(A16,Components!$A$8:$F$107,6,FALSE)))</f>
        <v/>
      </c>
    </row>
    <row r="17" spans="1:9" ht="48" customHeight="1">
      <c r="A17" s="4"/>
      <c r="B17" s="11"/>
      <c r="C17" s="6" t="str">
        <f>IF(A17="","",IF(COUNTIF(Components!$A$8:$A$107,A17)&lt;&gt;1,"Pending",VLOOKUP(A17,Components!$A$8:$F$107,5,FALSE)))</f>
        <v/>
      </c>
      <c r="D17" s="5"/>
      <c r="E17" s="6" t="str">
        <f t="shared" si="0"/>
        <v/>
      </c>
      <c r="F17" s="6" t="str">
        <f t="shared" si="1"/>
        <v/>
      </c>
      <c r="G17" s="1" t="str">
        <f>IF(A17="",IF(OR(NOT(ISBLANK(B17)),NOT(ISBLANK(D17))),"Needs component",""),IF(COUNTIF(Components!$A$8:$A$107,A17)&lt;&gt;1,"Invalid component",IF(ISBLANK(B17),"Needs quantity",IF(NOT(ISNUMBER(B17)),"Invalid quantity",IF(OR(B17&lt;0,B17&lt;&gt;INT(B17)),"Invalid quantity",IF(NOT(ISNUMBER(E17)),"Needs heat input",IF(NOT(ISBLANK(D17)),"Override used","Catalog basis")))))))</f>
        <v/>
      </c>
      <c r="H17" s="1"/>
      <c r="I17" s="12" t="str">
        <f>IF(A17="","",IF(COUNTIF(Components!$A$8:$A$107,A17)&lt;&gt;1,"Select a unique catalog component",VLOOKUP(A17,Components!$A$8:$F$107,6,FALSE)))</f>
        <v/>
      </c>
    </row>
    <row r="18" spans="1:9" ht="48" customHeight="1">
      <c r="A18" s="4"/>
      <c r="B18" s="11"/>
      <c r="C18" s="6" t="str">
        <f>IF(A18="","",IF(COUNTIF(Components!$A$8:$A$107,A18)&lt;&gt;1,"Pending",VLOOKUP(A18,Components!$A$8:$F$107,5,FALSE)))</f>
        <v/>
      </c>
      <c r="D18" s="5"/>
      <c r="E18" s="6" t="str">
        <f t="shared" si="0"/>
        <v/>
      </c>
      <c r="F18" s="6" t="str">
        <f t="shared" si="1"/>
        <v/>
      </c>
      <c r="G18" s="1" t="str">
        <f>IF(A18="",IF(OR(NOT(ISBLANK(B18)),NOT(ISBLANK(D18))),"Needs component",""),IF(COUNTIF(Components!$A$8:$A$107,A18)&lt;&gt;1,"Invalid component",IF(ISBLANK(B18),"Needs quantity",IF(NOT(ISNUMBER(B18)),"Invalid quantity",IF(OR(B18&lt;0,B18&lt;&gt;INT(B18)),"Invalid quantity",IF(NOT(ISNUMBER(E18)),"Needs heat input",IF(NOT(ISBLANK(D18)),"Override used","Catalog basis")))))))</f>
        <v/>
      </c>
      <c r="H18" s="1"/>
      <c r="I18" s="12" t="str">
        <f>IF(A18="","",IF(COUNTIF(Components!$A$8:$A$107,A18)&lt;&gt;1,"Select a unique catalog component",VLOOKUP(A18,Components!$A$8:$F$107,6,FALSE)))</f>
        <v/>
      </c>
    </row>
    <row r="19" spans="1:9" ht="48" customHeight="1">
      <c r="A19" s="4"/>
      <c r="B19" s="11"/>
      <c r="C19" s="6" t="str">
        <f>IF(A19="","",IF(COUNTIF(Components!$A$8:$A$107,A19)&lt;&gt;1,"Pending",VLOOKUP(A19,Components!$A$8:$F$107,5,FALSE)))</f>
        <v/>
      </c>
      <c r="D19" s="5"/>
      <c r="E19" s="6" t="str">
        <f t="shared" si="0"/>
        <v/>
      </c>
      <c r="F19" s="6" t="str">
        <f t="shared" si="1"/>
        <v/>
      </c>
      <c r="G19" s="1" t="str">
        <f>IF(A19="",IF(OR(NOT(ISBLANK(B19)),NOT(ISBLANK(D19))),"Needs component",""),IF(COUNTIF(Components!$A$8:$A$107,A19)&lt;&gt;1,"Invalid component",IF(ISBLANK(B19),"Needs quantity",IF(NOT(ISNUMBER(B19)),"Invalid quantity",IF(OR(B19&lt;0,B19&lt;&gt;INT(B19)),"Invalid quantity",IF(NOT(ISNUMBER(E19)),"Needs heat input",IF(NOT(ISBLANK(D19)),"Override used","Catalog basis")))))))</f>
        <v/>
      </c>
      <c r="H19" s="1"/>
      <c r="I19" s="12" t="str">
        <f>IF(A19="","",IF(COUNTIF(Components!$A$8:$A$107,A19)&lt;&gt;1,"Select a unique catalog component",VLOOKUP(A19,Components!$A$8:$F$107,6,FALSE)))</f>
        <v/>
      </c>
    </row>
    <row r="20" spans="1:9" ht="48" customHeight="1">
      <c r="A20" s="4"/>
      <c r="B20" s="11"/>
      <c r="C20" s="6" t="str">
        <f>IF(A20="","",IF(COUNTIF(Components!$A$8:$A$107,A20)&lt;&gt;1,"Pending",VLOOKUP(A20,Components!$A$8:$F$107,5,FALSE)))</f>
        <v/>
      </c>
      <c r="D20" s="5"/>
      <c r="E20" s="6" t="str">
        <f t="shared" si="0"/>
        <v/>
      </c>
      <c r="F20" s="6" t="str">
        <f t="shared" si="1"/>
        <v/>
      </c>
      <c r="G20" s="1" t="str">
        <f>IF(A20="",IF(OR(NOT(ISBLANK(B20)),NOT(ISBLANK(D20))),"Needs component",""),IF(COUNTIF(Components!$A$8:$A$107,A20)&lt;&gt;1,"Invalid component",IF(ISBLANK(B20),"Needs quantity",IF(NOT(ISNUMBER(B20)),"Invalid quantity",IF(OR(B20&lt;0,B20&lt;&gt;INT(B20)),"Invalid quantity",IF(NOT(ISNUMBER(E20)),"Needs heat input",IF(NOT(ISBLANK(D20)),"Override used","Catalog basis")))))))</f>
        <v/>
      </c>
      <c r="H20" s="1"/>
      <c r="I20" s="12" t="str">
        <f>IF(A20="","",IF(COUNTIF(Components!$A$8:$A$107,A20)&lt;&gt;1,"Select a unique catalog component",VLOOKUP(A20,Components!$A$8:$F$107,6,FALSE)))</f>
        <v/>
      </c>
    </row>
    <row r="21" spans="1:9" ht="48" customHeight="1">
      <c r="A21" s="4"/>
      <c r="B21" s="11"/>
      <c r="C21" s="6" t="str">
        <f>IF(A21="","",IF(COUNTIF(Components!$A$8:$A$107,A21)&lt;&gt;1,"Pending",VLOOKUP(A21,Components!$A$8:$F$107,5,FALSE)))</f>
        <v/>
      </c>
      <c r="D21" s="5"/>
      <c r="E21" s="6" t="str">
        <f t="shared" si="0"/>
        <v/>
      </c>
      <c r="F21" s="6" t="str">
        <f t="shared" si="1"/>
        <v/>
      </c>
      <c r="G21" s="1" t="str">
        <f>IF(A21="",IF(OR(NOT(ISBLANK(B21)),NOT(ISBLANK(D21))),"Needs component",""),IF(COUNTIF(Components!$A$8:$A$107,A21)&lt;&gt;1,"Invalid component",IF(ISBLANK(B21),"Needs quantity",IF(NOT(ISNUMBER(B21)),"Invalid quantity",IF(OR(B21&lt;0,B21&lt;&gt;INT(B21)),"Invalid quantity",IF(NOT(ISNUMBER(E21)),"Needs heat input",IF(NOT(ISBLANK(D21)),"Override used","Catalog basis")))))))</f>
        <v/>
      </c>
      <c r="H21" s="1"/>
      <c r="I21" s="12" t="str">
        <f>IF(A21="","",IF(COUNTIF(Components!$A$8:$A$107,A21)&lt;&gt;1,"Select a unique catalog component",VLOOKUP(A21,Components!$A$8:$F$107,6,FALSE)))</f>
        <v/>
      </c>
    </row>
    <row r="22" spans="1:9" ht="48" customHeight="1">
      <c r="A22" s="4"/>
      <c r="B22" s="11"/>
      <c r="C22" s="6" t="str">
        <f>IF(A22="","",IF(COUNTIF(Components!$A$8:$A$107,A22)&lt;&gt;1,"Pending",VLOOKUP(A22,Components!$A$8:$F$107,5,FALSE)))</f>
        <v/>
      </c>
      <c r="D22" s="5"/>
      <c r="E22" s="6" t="str">
        <f t="shared" si="0"/>
        <v/>
      </c>
      <c r="F22" s="6" t="str">
        <f t="shared" si="1"/>
        <v/>
      </c>
      <c r="G22" s="1" t="str">
        <f>IF(A22="",IF(OR(NOT(ISBLANK(B22)),NOT(ISBLANK(D22))),"Needs component",""),IF(COUNTIF(Components!$A$8:$A$107,A22)&lt;&gt;1,"Invalid component",IF(ISBLANK(B22),"Needs quantity",IF(NOT(ISNUMBER(B22)),"Invalid quantity",IF(OR(B22&lt;0,B22&lt;&gt;INT(B22)),"Invalid quantity",IF(NOT(ISNUMBER(E22)),"Needs heat input",IF(NOT(ISBLANK(D22)),"Override used","Catalog basis")))))))</f>
        <v/>
      </c>
      <c r="H22" s="1"/>
      <c r="I22" s="12" t="str">
        <f>IF(A22="","",IF(COUNTIF(Components!$A$8:$A$107,A22)&lt;&gt;1,"Select a unique catalog component",VLOOKUP(A22,Components!$A$8:$F$107,6,FALSE)))</f>
        <v/>
      </c>
    </row>
    <row r="23" spans="1:9" ht="48" customHeight="1">
      <c r="A23" s="4"/>
      <c r="B23" s="11"/>
      <c r="C23" s="6" t="str">
        <f>IF(A23="","",IF(COUNTIF(Components!$A$8:$A$107,A23)&lt;&gt;1,"Pending",VLOOKUP(A23,Components!$A$8:$F$107,5,FALSE)))</f>
        <v/>
      </c>
      <c r="D23" s="5"/>
      <c r="E23" s="6" t="str">
        <f t="shared" si="0"/>
        <v/>
      </c>
      <c r="F23" s="6" t="str">
        <f t="shared" si="1"/>
        <v/>
      </c>
      <c r="G23" s="1" t="str">
        <f>IF(A23="",IF(OR(NOT(ISBLANK(B23)),NOT(ISBLANK(D23))),"Needs component",""),IF(COUNTIF(Components!$A$8:$A$107,A23)&lt;&gt;1,"Invalid component",IF(ISBLANK(B23),"Needs quantity",IF(NOT(ISNUMBER(B23)),"Invalid quantity",IF(OR(B23&lt;0,B23&lt;&gt;INT(B23)),"Invalid quantity",IF(NOT(ISNUMBER(E23)),"Needs heat input",IF(NOT(ISBLANK(D23)),"Override used","Catalog basis")))))))</f>
        <v/>
      </c>
      <c r="H23" s="1"/>
      <c r="I23" s="12" t="str">
        <f>IF(A23="","",IF(COUNTIF(Components!$A$8:$A$107,A23)&lt;&gt;1,"Select a unique catalog component",VLOOKUP(A23,Components!$A$8:$F$107,6,FALSE)))</f>
        <v/>
      </c>
    </row>
    <row r="24" spans="1:9" ht="48" customHeight="1">
      <c r="A24" s="4"/>
      <c r="B24" s="11"/>
      <c r="C24" s="6" t="str">
        <f>IF(A24="","",IF(COUNTIF(Components!$A$8:$A$107,A24)&lt;&gt;1,"Pending",VLOOKUP(A24,Components!$A$8:$F$107,5,FALSE)))</f>
        <v/>
      </c>
      <c r="D24" s="5"/>
      <c r="E24" s="6" t="str">
        <f t="shared" si="0"/>
        <v/>
      </c>
      <c r="F24" s="6" t="str">
        <f t="shared" si="1"/>
        <v/>
      </c>
      <c r="G24" s="1" t="str">
        <f>IF(A24="",IF(OR(NOT(ISBLANK(B24)),NOT(ISBLANK(D24))),"Needs component",""),IF(COUNTIF(Components!$A$8:$A$107,A24)&lt;&gt;1,"Invalid component",IF(ISBLANK(B24),"Needs quantity",IF(NOT(ISNUMBER(B24)),"Invalid quantity",IF(OR(B24&lt;0,B24&lt;&gt;INT(B24)),"Invalid quantity",IF(NOT(ISNUMBER(E24)),"Needs heat input",IF(NOT(ISBLANK(D24)),"Override used","Catalog basis")))))))</f>
        <v/>
      </c>
      <c r="H24" s="1"/>
      <c r="I24" s="12" t="str">
        <f>IF(A24="","",IF(COUNTIF(Components!$A$8:$A$107,A24)&lt;&gt;1,"Select a unique catalog component",VLOOKUP(A24,Components!$A$8:$F$107,6,FALSE)))</f>
        <v/>
      </c>
    </row>
    <row r="25" spans="1:9" ht="48" customHeight="1">
      <c r="A25" s="4"/>
      <c r="B25" s="11"/>
      <c r="C25" s="6" t="str">
        <f>IF(A25="","",IF(COUNTIF(Components!$A$8:$A$107,A25)&lt;&gt;1,"Pending",VLOOKUP(A25,Components!$A$8:$F$107,5,FALSE)))</f>
        <v/>
      </c>
      <c r="D25" s="5"/>
      <c r="E25" s="6" t="str">
        <f t="shared" si="0"/>
        <v/>
      </c>
      <c r="F25" s="6" t="str">
        <f t="shared" si="1"/>
        <v/>
      </c>
      <c r="G25" s="1" t="str">
        <f>IF(A25="",IF(OR(NOT(ISBLANK(B25)),NOT(ISBLANK(D25))),"Needs component",""),IF(COUNTIF(Components!$A$8:$A$107,A25)&lt;&gt;1,"Invalid component",IF(ISBLANK(B25),"Needs quantity",IF(NOT(ISNUMBER(B25)),"Invalid quantity",IF(OR(B25&lt;0,B25&lt;&gt;INT(B25)),"Invalid quantity",IF(NOT(ISNUMBER(E25)),"Needs heat input",IF(NOT(ISBLANK(D25)),"Override used","Catalog basis")))))))</f>
        <v/>
      </c>
      <c r="H25" s="1"/>
      <c r="I25" s="12" t="str">
        <f>IF(A25="","",IF(COUNTIF(Components!$A$8:$A$107,A25)&lt;&gt;1,"Select a unique catalog component",VLOOKUP(A25,Components!$A$8:$F$107,6,FALSE)))</f>
        <v/>
      </c>
    </row>
    <row r="26" spans="1:9" ht="48" customHeight="1">
      <c r="A26" s="4"/>
      <c r="B26" s="11"/>
      <c r="C26" s="6" t="str">
        <f>IF(A26="","",IF(COUNTIF(Components!$A$8:$A$107,A26)&lt;&gt;1,"Pending",VLOOKUP(A26,Components!$A$8:$F$107,5,FALSE)))</f>
        <v/>
      </c>
      <c r="D26" s="5"/>
      <c r="E26" s="6" t="str">
        <f t="shared" si="0"/>
        <v/>
      </c>
      <c r="F26" s="6" t="str">
        <f t="shared" si="1"/>
        <v/>
      </c>
      <c r="G26" s="1" t="str">
        <f>IF(A26="",IF(OR(NOT(ISBLANK(B26)),NOT(ISBLANK(D26))),"Needs component",""),IF(COUNTIF(Components!$A$8:$A$107,A26)&lt;&gt;1,"Invalid component",IF(ISBLANK(B26),"Needs quantity",IF(NOT(ISNUMBER(B26)),"Invalid quantity",IF(OR(B26&lt;0,B26&lt;&gt;INT(B26)),"Invalid quantity",IF(NOT(ISNUMBER(E26)),"Needs heat input",IF(NOT(ISBLANK(D26)),"Override used","Catalog basis")))))))</f>
        <v/>
      </c>
      <c r="H26" s="1"/>
      <c r="I26" s="12" t="str">
        <f>IF(A26="","",IF(COUNTIF(Components!$A$8:$A$107,A26)&lt;&gt;1,"Select a unique catalog component",VLOOKUP(A26,Components!$A$8:$F$107,6,FALSE)))</f>
        <v/>
      </c>
    </row>
    <row r="27" spans="1:9" ht="48" customHeight="1">
      <c r="A27" s="4"/>
      <c r="B27" s="11"/>
      <c r="C27" s="6" t="str">
        <f>IF(A27="","",IF(COUNTIF(Components!$A$8:$A$107,A27)&lt;&gt;1,"Pending",VLOOKUP(A27,Components!$A$8:$F$107,5,FALSE)))</f>
        <v/>
      </c>
      <c r="D27" s="5"/>
      <c r="E27" s="6" t="str">
        <f t="shared" si="0"/>
        <v/>
      </c>
      <c r="F27" s="6" t="str">
        <f t="shared" si="1"/>
        <v/>
      </c>
      <c r="G27" s="1" t="str">
        <f>IF(A27="",IF(OR(NOT(ISBLANK(B27)),NOT(ISBLANK(D27))),"Needs component",""),IF(COUNTIF(Components!$A$8:$A$107,A27)&lt;&gt;1,"Invalid component",IF(ISBLANK(B27),"Needs quantity",IF(NOT(ISNUMBER(B27)),"Invalid quantity",IF(OR(B27&lt;0,B27&lt;&gt;INT(B27)),"Invalid quantity",IF(NOT(ISNUMBER(E27)),"Needs heat input",IF(NOT(ISBLANK(D27)),"Override used","Catalog basis")))))))</f>
        <v/>
      </c>
      <c r="H27" s="1"/>
      <c r="I27" s="12" t="str">
        <f>IF(A27="","",IF(COUNTIF(Components!$A$8:$A$107,A27)&lt;&gt;1,"Select a unique catalog component",VLOOKUP(A27,Components!$A$8:$F$107,6,FALSE)))</f>
        <v/>
      </c>
    </row>
    <row r="28" spans="1:9" ht="48" customHeight="1">
      <c r="A28" s="4"/>
      <c r="B28" s="11"/>
      <c r="C28" s="6" t="str">
        <f>IF(A28="","",IF(COUNTIF(Components!$A$8:$A$107,A28)&lt;&gt;1,"Pending",VLOOKUP(A28,Components!$A$8:$F$107,5,FALSE)))</f>
        <v/>
      </c>
      <c r="D28" s="5"/>
      <c r="E28" s="6" t="str">
        <f t="shared" si="0"/>
        <v/>
      </c>
      <c r="F28" s="6" t="str">
        <f t="shared" si="1"/>
        <v/>
      </c>
      <c r="G28" s="1" t="str">
        <f>IF(A28="",IF(OR(NOT(ISBLANK(B28)),NOT(ISBLANK(D28))),"Needs component",""),IF(COUNTIF(Components!$A$8:$A$107,A28)&lt;&gt;1,"Invalid component",IF(ISBLANK(B28),"Needs quantity",IF(NOT(ISNUMBER(B28)),"Invalid quantity",IF(OR(B28&lt;0,B28&lt;&gt;INT(B28)),"Invalid quantity",IF(NOT(ISNUMBER(E28)),"Needs heat input",IF(NOT(ISBLANK(D28)),"Override used","Catalog basis")))))))</f>
        <v/>
      </c>
      <c r="H28" s="1"/>
      <c r="I28" s="12" t="str">
        <f>IF(A28="","",IF(COUNTIF(Components!$A$8:$A$107,A28)&lt;&gt;1,"Select a unique catalog component",VLOOKUP(A28,Components!$A$8:$F$107,6,FALSE)))</f>
        <v/>
      </c>
    </row>
    <row r="29" spans="1:9" ht="48" customHeight="1">
      <c r="A29" s="4"/>
      <c r="B29" s="11"/>
      <c r="C29" s="6" t="str">
        <f>IF(A29="","",IF(COUNTIF(Components!$A$8:$A$107,A29)&lt;&gt;1,"Pending",VLOOKUP(A29,Components!$A$8:$F$107,5,FALSE)))</f>
        <v/>
      </c>
      <c r="D29" s="5"/>
      <c r="E29" s="6" t="str">
        <f t="shared" si="0"/>
        <v/>
      </c>
      <c r="F29" s="6" t="str">
        <f t="shared" si="1"/>
        <v/>
      </c>
      <c r="G29" s="1" t="str">
        <f>IF(A29="",IF(OR(NOT(ISBLANK(B29)),NOT(ISBLANK(D29))),"Needs component",""),IF(COUNTIF(Components!$A$8:$A$107,A29)&lt;&gt;1,"Invalid component",IF(ISBLANK(B29),"Needs quantity",IF(NOT(ISNUMBER(B29)),"Invalid quantity",IF(OR(B29&lt;0,B29&lt;&gt;INT(B29)),"Invalid quantity",IF(NOT(ISNUMBER(E29)),"Needs heat input",IF(NOT(ISBLANK(D29)),"Override used","Catalog basis")))))))</f>
        <v/>
      </c>
      <c r="H29" s="1"/>
      <c r="I29" s="12" t="str">
        <f>IF(A29="","",IF(COUNTIF(Components!$A$8:$A$107,A29)&lt;&gt;1,"Select a unique catalog component",VLOOKUP(A29,Components!$A$8:$F$107,6,FALSE)))</f>
        <v/>
      </c>
    </row>
    <row r="30" spans="1:9" ht="48" customHeight="1">
      <c r="A30" s="4"/>
      <c r="B30" s="11"/>
      <c r="C30" s="6" t="str">
        <f>IF(A30="","",IF(COUNTIF(Components!$A$8:$A$107,A30)&lt;&gt;1,"Pending",VLOOKUP(A30,Components!$A$8:$F$107,5,FALSE)))</f>
        <v/>
      </c>
      <c r="D30" s="5"/>
      <c r="E30" s="6" t="str">
        <f t="shared" si="0"/>
        <v/>
      </c>
      <c r="F30" s="6" t="str">
        <f t="shared" si="1"/>
        <v/>
      </c>
      <c r="G30" s="1" t="str">
        <f>IF(A30="",IF(OR(NOT(ISBLANK(B30)),NOT(ISBLANK(D30))),"Needs component",""),IF(COUNTIF(Components!$A$8:$A$107,A30)&lt;&gt;1,"Invalid component",IF(ISBLANK(B30),"Needs quantity",IF(NOT(ISNUMBER(B30)),"Invalid quantity",IF(OR(B30&lt;0,B30&lt;&gt;INT(B30)),"Invalid quantity",IF(NOT(ISNUMBER(E30)),"Needs heat input",IF(NOT(ISBLANK(D30)),"Override used","Catalog basis")))))))</f>
        <v/>
      </c>
      <c r="H30" s="1"/>
      <c r="I30" s="12" t="str">
        <f>IF(A30="","",IF(COUNTIF(Components!$A$8:$A$107,A30)&lt;&gt;1,"Select a unique catalog component",VLOOKUP(A30,Components!$A$8:$F$107,6,FALSE)))</f>
        <v/>
      </c>
    </row>
    <row r="31" spans="1:9" ht="48" customHeight="1">
      <c r="A31" s="4"/>
      <c r="B31" s="11"/>
      <c r="C31" s="6" t="str">
        <f>IF(A31="","",IF(COUNTIF(Components!$A$8:$A$107,A31)&lt;&gt;1,"Pending",VLOOKUP(A31,Components!$A$8:$F$107,5,FALSE)))</f>
        <v/>
      </c>
      <c r="D31" s="5"/>
      <c r="E31" s="6" t="str">
        <f t="shared" si="0"/>
        <v/>
      </c>
      <c r="F31" s="6" t="str">
        <f t="shared" si="1"/>
        <v/>
      </c>
      <c r="G31" s="1" t="str">
        <f>IF(A31="",IF(OR(NOT(ISBLANK(B31)),NOT(ISBLANK(D31))),"Needs component",""),IF(COUNTIF(Components!$A$8:$A$107,A31)&lt;&gt;1,"Invalid component",IF(ISBLANK(B31),"Needs quantity",IF(NOT(ISNUMBER(B31)),"Invalid quantity",IF(OR(B31&lt;0,B31&lt;&gt;INT(B31)),"Invalid quantity",IF(NOT(ISNUMBER(E31)),"Needs heat input",IF(NOT(ISBLANK(D31)),"Override used","Catalog basis")))))))</f>
        <v/>
      </c>
      <c r="H31" s="1"/>
      <c r="I31" s="12" t="str">
        <f>IF(A31="","",IF(COUNTIF(Components!$A$8:$A$107,A31)&lt;&gt;1,"Select a unique catalog component",VLOOKUP(A31,Components!$A$8:$F$107,6,FALSE)))</f>
        <v/>
      </c>
    </row>
    <row r="32" spans="1:9" ht="48" customHeight="1">
      <c r="A32" s="4"/>
      <c r="B32" s="11"/>
      <c r="C32" s="6" t="str">
        <f>IF(A32="","",IF(COUNTIF(Components!$A$8:$A$107,A32)&lt;&gt;1,"Pending",VLOOKUP(A32,Components!$A$8:$F$107,5,FALSE)))</f>
        <v/>
      </c>
      <c r="D32" s="5"/>
      <c r="E32" s="6" t="str">
        <f t="shared" si="0"/>
        <v/>
      </c>
      <c r="F32" s="6" t="str">
        <f t="shared" si="1"/>
        <v/>
      </c>
      <c r="G32" s="1" t="str">
        <f>IF(A32="",IF(OR(NOT(ISBLANK(B32)),NOT(ISBLANK(D32))),"Needs component",""),IF(COUNTIF(Components!$A$8:$A$107,A32)&lt;&gt;1,"Invalid component",IF(ISBLANK(B32),"Needs quantity",IF(NOT(ISNUMBER(B32)),"Invalid quantity",IF(OR(B32&lt;0,B32&lt;&gt;INT(B32)),"Invalid quantity",IF(NOT(ISNUMBER(E32)),"Needs heat input",IF(NOT(ISBLANK(D32)),"Override used","Catalog basis")))))))</f>
        <v/>
      </c>
      <c r="H32" s="1"/>
      <c r="I32" s="12" t="str">
        <f>IF(A32="","",IF(COUNTIF(Components!$A$8:$A$107,A32)&lt;&gt;1,"Select a unique catalog component",VLOOKUP(A32,Components!$A$8:$F$107,6,FALSE)))</f>
        <v/>
      </c>
    </row>
    <row r="33" spans="1:9" ht="48" customHeight="1">
      <c r="A33" s="4"/>
      <c r="B33" s="11"/>
      <c r="C33" s="6" t="str">
        <f>IF(A33="","",IF(COUNTIF(Components!$A$8:$A$107,A33)&lt;&gt;1,"Pending",VLOOKUP(A33,Components!$A$8:$F$107,5,FALSE)))</f>
        <v/>
      </c>
      <c r="D33" s="5"/>
      <c r="E33" s="6" t="str">
        <f t="shared" si="0"/>
        <v/>
      </c>
      <c r="F33" s="6" t="str">
        <f t="shared" si="1"/>
        <v/>
      </c>
      <c r="G33" s="1" t="str">
        <f>IF(A33="",IF(OR(NOT(ISBLANK(B33)),NOT(ISBLANK(D33))),"Needs component",""),IF(COUNTIF(Components!$A$8:$A$107,A33)&lt;&gt;1,"Invalid component",IF(ISBLANK(B33),"Needs quantity",IF(NOT(ISNUMBER(B33)),"Invalid quantity",IF(OR(B33&lt;0,B33&lt;&gt;INT(B33)),"Invalid quantity",IF(NOT(ISNUMBER(E33)),"Needs heat input",IF(NOT(ISBLANK(D33)),"Override used","Catalog basis")))))))</f>
        <v/>
      </c>
      <c r="H33" s="1"/>
      <c r="I33" s="12" t="str">
        <f>IF(A33="","",IF(COUNTIF(Components!$A$8:$A$107,A33)&lt;&gt;1,"Select a unique catalog component",VLOOKUP(A33,Components!$A$8:$F$107,6,FALSE)))</f>
        <v/>
      </c>
    </row>
    <row r="34" spans="1:9" ht="48" customHeight="1">
      <c r="A34" s="4"/>
      <c r="B34" s="11"/>
      <c r="C34" s="6" t="str">
        <f>IF(A34="","",IF(COUNTIF(Components!$A$8:$A$107,A34)&lt;&gt;1,"Pending",VLOOKUP(A34,Components!$A$8:$F$107,5,FALSE)))</f>
        <v/>
      </c>
      <c r="D34" s="5"/>
      <c r="E34" s="6" t="str">
        <f t="shared" si="0"/>
        <v/>
      </c>
      <c r="F34" s="6" t="str">
        <f t="shared" si="1"/>
        <v/>
      </c>
      <c r="G34" s="1" t="str">
        <f>IF(A34="",IF(OR(NOT(ISBLANK(B34)),NOT(ISBLANK(D34))),"Needs component",""),IF(COUNTIF(Components!$A$8:$A$107,A34)&lt;&gt;1,"Invalid component",IF(ISBLANK(B34),"Needs quantity",IF(NOT(ISNUMBER(B34)),"Invalid quantity",IF(OR(B34&lt;0,B34&lt;&gt;INT(B34)),"Invalid quantity",IF(NOT(ISNUMBER(E34)),"Needs heat input",IF(NOT(ISBLANK(D34)),"Override used","Catalog basis")))))))</f>
        <v/>
      </c>
      <c r="H34" s="1"/>
      <c r="I34" s="12" t="str">
        <f>IF(A34="","",IF(COUNTIF(Components!$A$8:$A$107,A34)&lt;&gt;1,"Select a unique catalog component",VLOOKUP(A34,Components!$A$8:$F$107,6,FALSE)))</f>
        <v/>
      </c>
    </row>
    <row r="35" spans="1:9" ht="48" customHeight="1">
      <c r="A35" s="4"/>
      <c r="B35" s="11"/>
      <c r="C35" s="6" t="str">
        <f>IF(A35="","",IF(COUNTIF(Components!$A$8:$A$107,A35)&lt;&gt;1,"Pending",VLOOKUP(A35,Components!$A$8:$F$107,5,FALSE)))</f>
        <v/>
      </c>
      <c r="D35" s="5"/>
      <c r="E35" s="6" t="str">
        <f t="shared" si="0"/>
        <v/>
      </c>
      <c r="F35" s="6" t="str">
        <f t="shared" si="1"/>
        <v/>
      </c>
      <c r="G35" s="1" t="str">
        <f>IF(A35="",IF(OR(NOT(ISBLANK(B35)),NOT(ISBLANK(D35))),"Needs component",""),IF(COUNTIF(Components!$A$8:$A$107,A35)&lt;&gt;1,"Invalid component",IF(ISBLANK(B35),"Needs quantity",IF(NOT(ISNUMBER(B35)),"Invalid quantity",IF(OR(B35&lt;0,B35&lt;&gt;INT(B35)),"Invalid quantity",IF(NOT(ISNUMBER(E35)),"Needs heat input",IF(NOT(ISBLANK(D35)),"Override used","Catalog basis")))))))</f>
        <v/>
      </c>
      <c r="H35" s="1"/>
      <c r="I35" s="12" t="str">
        <f>IF(A35="","",IF(COUNTIF(Components!$A$8:$A$107,A35)&lt;&gt;1,"Select a unique catalog component",VLOOKUP(A35,Components!$A$8:$F$107,6,FALSE)))</f>
        <v/>
      </c>
    </row>
    <row r="36" spans="1:9" ht="48" customHeight="1">
      <c r="A36" s="4"/>
      <c r="B36" s="11"/>
      <c r="C36" s="6" t="str">
        <f>IF(A36="","",IF(COUNTIF(Components!$A$8:$A$107,A36)&lt;&gt;1,"Pending",VLOOKUP(A36,Components!$A$8:$F$107,5,FALSE)))</f>
        <v/>
      </c>
      <c r="D36" s="5"/>
      <c r="E36" s="6" t="str">
        <f t="shared" si="0"/>
        <v/>
      </c>
      <c r="F36" s="6" t="str">
        <f t="shared" si="1"/>
        <v/>
      </c>
      <c r="G36" s="1" t="str">
        <f>IF(A36="",IF(OR(NOT(ISBLANK(B36)),NOT(ISBLANK(D36))),"Needs component",""),IF(COUNTIF(Components!$A$8:$A$107,A36)&lt;&gt;1,"Invalid component",IF(ISBLANK(B36),"Needs quantity",IF(NOT(ISNUMBER(B36)),"Invalid quantity",IF(OR(B36&lt;0,B36&lt;&gt;INT(B36)),"Invalid quantity",IF(NOT(ISNUMBER(E36)),"Needs heat input",IF(NOT(ISBLANK(D36)),"Override used","Catalog basis")))))))</f>
        <v/>
      </c>
      <c r="H36" s="1"/>
      <c r="I36" s="12" t="str">
        <f>IF(A36="","",IF(COUNTIF(Components!$A$8:$A$107,A36)&lt;&gt;1,"Select a unique catalog component",VLOOKUP(A36,Components!$A$8:$F$107,6,FALSE)))</f>
        <v/>
      </c>
    </row>
    <row r="37" spans="1:9" ht="48" customHeight="1">
      <c r="A37" s="4"/>
      <c r="B37" s="11"/>
      <c r="C37" s="6" t="str">
        <f>IF(A37="","",IF(COUNTIF(Components!$A$8:$A$107,A37)&lt;&gt;1,"Pending",VLOOKUP(A37,Components!$A$8:$F$107,5,FALSE)))</f>
        <v/>
      </c>
      <c r="D37" s="5"/>
      <c r="E37" s="6" t="str">
        <f t="shared" si="0"/>
        <v/>
      </c>
      <c r="F37" s="6" t="str">
        <f t="shared" si="1"/>
        <v/>
      </c>
      <c r="G37" s="1" t="str">
        <f>IF(A37="",IF(OR(NOT(ISBLANK(B37)),NOT(ISBLANK(D37))),"Needs component",""),IF(COUNTIF(Components!$A$8:$A$107,A37)&lt;&gt;1,"Invalid component",IF(ISBLANK(B37),"Needs quantity",IF(NOT(ISNUMBER(B37)),"Invalid quantity",IF(OR(B37&lt;0,B37&lt;&gt;INT(B37)),"Invalid quantity",IF(NOT(ISNUMBER(E37)),"Needs heat input",IF(NOT(ISBLANK(D37)),"Override used","Catalog basis")))))))</f>
        <v/>
      </c>
      <c r="H37" s="1"/>
      <c r="I37" s="12" t="str">
        <f>IF(A37="","",IF(COUNTIF(Components!$A$8:$A$107,A37)&lt;&gt;1,"Select a unique catalog component",VLOOKUP(A37,Components!$A$8:$F$107,6,FALSE)))</f>
        <v/>
      </c>
    </row>
    <row r="38" spans="1:9" ht="48" customHeight="1">
      <c r="A38" s="4"/>
      <c r="B38" s="11"/>
      <c r="C38" s="6" t="str">
        <f>IF(A38="","",IF(COUNTIF(Components!$A$8:$A$107,A38)&lt;&gt;1,"Pending",VLOOKUP(A38,Components!$A$8:$F$107,5,FALSE)))</f>
        <v/>
      </c>
      <c r="D38" s="5"/>
      <c r="E38" s="6" t="str">
        <f t="shared" si="0"/>
        <v/>
      </c>
      <c r="F38" s="6" t="str">
        <f t="shared" si="1"/>
        <v/>
      </c>
      <c r="G38" s="1" t="str">
        <f>IF(A38="",IF(OR(NOT(ISBLANK(B38)),NOT(ISBLANK(D38))),"Needs component",""),IF(COUNTIF(Components!$A$8:$A$107,A38)&lt;&gt;1,"Invalid component",IF(ISBLANK(B38),"Needs quantity",IF(NOT(ISNUMBER(B38)),"Invalid quantity",IF(OR(B38&lt;0,B38&lt;&gt;INT(B38)),"Invalid quantity",IF(NOT(ISNUMBER(E38)),"Needs heat input",IF(NOT(ISBLANK(D38)),"Override used","Catalog basis")))))))</f>
        <v/>
      </c>
      <c r="H38" s="1"/>
      <c r="I38" s="12" t="str">
        <f>IF(A38="","",IF(COUNTIF(Components!$A$8:$A$107,A38)&lt;&gt;1,"Select a unique catalog component",VLOOKUP(A38,Components!$A$8:$F$107,6,FALSE)))</f>
        <v/>
      </c>
    </row>
    <row r="39" spans="1:9" ht="48" customHeight="1">
      <c r="A39" s="4"/>
      <c r="B39" s="11"/>
      <c r="C39" s="6" t="str">
        <f>IF(A39="","",IF(COUNTIF(Components!$A$8:$A$107,A39)&lt;&gt;1,"Pending",VLOOKUP(A39,Components!$A$8:$F$107,5,FALSE)))</f>
        <v/>
      </c>
      <c r="D39" s="5"/>
      <c r="E39" s="6" t="str">
        <f t="shared" si="0"/>
        <v/>
      </c>
      <c r="F39" s="6" t="str">
        <f t="shared" si="1"/>
        <v/>
      </c>
      <c r="G39" s="1" t="str">
        <f>IF(A39="",IF(OR(NOT(ISBLANK(B39)),NOT(ISBLANK(D39))),"Needs component",""),IF(COUNTIF(Components!$A$8:$A$107,A39)&lt;&gt;1,"Invalid component",IF(ISBLANK(B39),"Needs quantity",IF(NOT(ISNUMBER(B39)),"Invalid quantity",IF(OR(B39&lt;0,B39&lt;&gt;INT(B39)),"Invalid quantity",IF(NOT(ISNUMBER(E39)),"Needs heat input",IF(NOT(ISBLANK(D39)),"Override used","Catalog basis")))))))</f>
        <v/>
      </c>
      <c r="H39" s="1"/>
      <c r="I39" s="12" t="str">
        <f>IF(A39="","",IF(COUNTIF(Components!$A$8:$A$107,A39)&lt;&gt;1,"Select a unique catalog component",VLOOKUP(A39,Components!$A$8:$F$107,6,FALSE)))</f>
        <v/>
      </c>
    </row>
    <row r="40" spans="1:9" ht="48" customHeight="1">
      <c r="A40" s="4"/>
      <c r="B40" s="11"/>
      <c r="C40" s="6" t="str">
        <f>IF(A40="","",IF(COUNTIF(Components!$A$8:$A$107,A40)&lt;&gt;1,"Pending",VLOOKUP(A40,Components!$A$8:$F$107,5,FALSE)))</f>
        <v/>
      </c>
      <c r="D40" s="5"/>
      <c r="E40" s="6" t="str">
        <f t="shared" si="0"/>
        <v/>
      </c>
      <c r="F40" s="6" t="str">
        <f t="shared" si="1"/>
        <v/>
      </c>
      <c r="G40" s="1" t="str">
        <f>IF(A40="",IF(OR(NOT(ISBLANK(B40)),NOT(ISBLANK(D40))),"Needs component",""),IF(COUNTIF(Components!$A$8:$A$107,A40)&lt;&gt;1,"Invalid component",IF(ISBLANK(B40),"Needs quantity",IF(NOT(ISNUMBER(B40)),"Invalid quantity",IF(OR(B40&lt;0,B40&lt;&gt;INT(B40)),"Invalid quantity",IF(NOT(ISNUMBER(E40)),"Needs heat input",IF(NOT(ISBLANK(D40)),"Override used","Catalog basis")))))))</f>
        <v/>
      </c>
      <c r="H40" s="1"/>
      <c r="I40" s="12" t="str">
        <f>IF(A40="","",IF(COUNTIF(Components!$A$8:$A$107,A40)&lt;&gt;1,"Select a unique catalog component",VLOOKUP(A40,Components!$A$8:$F$107,6,FALSE)))</f>
        <v/>
      </c>
    </row>
    <row r="41" spans="1:9" ht="48" customHeight="1">
      <c r="A41" s="4"/>
      <c r="B41" s="11"/>
      <c r="C41" s="6" t="str">
        <f>IF(A41="","",IF(COUNTIF(Components!$A$8:$A$107,A41)&lt;&gt;1,"Pending",VLOOKUP(A41,Components!$A$8:$F$107,5,FALSE)))</f>
        <v/>
      </c>
      <c r="D41" s="5"/>
      <c r="E41" s="6" t="str">
        <f t="shared" si="0"/>
        <v/>
      </c>
      <c r="F41" s="6" t="str">
        <f t="shared" si="1"/>
        <v/>
      </c>
      <c r="G41" s="1" t="str">
        <f>IF(A41="",IF(OR(NOT(ISBLANK(B41)),NOT(ISBLANK(D41))),"Needs component",""),IF(COUNTIF(Components!$A$8:$A$107,A41)&lt;&gt;1,"Invalid component",IF(ISBLANK(B41),"Needs quantity",IF(NOT(ISNUMBER(B41)),"Invalid quantity",IF(OR(B41&lt;0,B41&lt;&gt;INT(B41)),"Invalid quantity",IF(NOT(ISNUMBER(E41)),"Needs heat input",IF(NOT(ISBLANK(D41)),"Override used","Catalog basis")))))))</f>
        <v/>
      </c>
      <c r="H41" s="1"/>
      <c r="I41" s="12" t="str">
        <f>IF(A41="","",IF(COUNTIF(Components!$A$8:$A$107,A41)&lt;&gt;1,"Select a unique catalog component",VLOOKUP(A41,Components!$A$8:$F$107,6,FALSE)))</f>
        <v/>
      </c>
    </row>
    <row r="42" spans="1:9" ht="48" customHeight="1">
      <c r="A42" s="4"/>
      <c r="B42" s="11"/>
      <c r="C42" s="6" t="str">
        <f>IF(A42="","",IF(COUNTIF(Components!$A$8:$A$107,A42)&lt;&gt;1,"Pending",VLOOKUP(A42,Components!$A$8:$F$107,5,FALSE)))</f>
        <v/>
      </c>
      <c r="D42" s="5"/>
      <c r="E42" s="6" t="str">
        <f t="shared" si="0"/>
        <v/>
      </c>
      <c r="F42" s="6" t="str">
        <f t="shared" si="1"/>
        <v/>
      </c>
      <c r="G42" s="1" t="str">
        <f>IF(A42="",IF(OR(NOT(ISBLANK(B42)),NOT(ISBLANK(D42))),"Needs component",""),IF(COUNTIF(Components!$A$8:$A$107,A42)&lt;&gt;1,"Invalid component",IF(ISBLANK(B42),"Needs quantity",IF(NOT(ISNUMBER(B42)),"Invalid quantity",IF(OR(B42&lt;0,B42&lt;&gt;INT(B42)),"Invalid quantity",IF(NOT(ISNUMBER(E42)),"Needs heat input",IF(NOT(ISBLANK(D42)),"Override used","Catalog basis")))))))</f>
        <v/>
      </c>
      <c r="H42" s="1"/>
      <c r="I42" s="12" t="str">
        <f>IF(A42="","",IF(COUNTIF(Components!$A$8:$A$107,A42)&lt;&gt;1,"Select a unique catalog component",VLOOKUP(A42,Components!$A$8:$F$107,6,FALSE)))</f>
        <v/>
      </c>
    </row>
    <row r="43" spans="1:9" ht="48" customHeight="1">
      <c r="A43" s="4"/>
      <c r="B43" s="11"/>
      <c r="C43" s="6" t="str">
        <f>IF(A43="","",IF(COUNTIF(Components!$A$8:$A$107,A43)&lt;&gt;1,"Pending",VLOOKUP(A43,Components!$A$8:$F$107,5,FALSE)))</f>
        <v/>
      </c>
      <c r="D43" s="5"/>
      <c r="E43" s="6" t="str">
        <f t="shared" ref="E43:E74" si="2">IF(A43="","",IF(ISBLANK(D43),C43,IF(AND(ISNUMBER(D43),D43&gt;=0),D43,"Pending")))</f>
        <v/>
      </c>
      <c r="F43" s="6" t="str">
        <f t="shared" ref="F43:F74" si="3">IF(OR(G43="Catalog basis",G43="Override used"),B43*E43,"")</f>
        <v/>
      </c>
      <c r="G43" s="1" t="str">
        <f>IF(A43="",IF(OR(NOT(ISBLANK(B43)),NOT(ISBLANK(D43))),"Needs component",""),IF(COUNTIF(Components!$A$8:$A$107,A43)&lt;&gt;1,"Invalid component",IF(ISBLANK(B43),"Needs quantity",IF(NOT(ISNUMBER(B43)),"Invalid quantity",IF(OR(B43&lt;0,B43&lt;&gt;INT(B43)),"Invalid quantity",IF(NOT(ISNUMBER(E43)),"Needs heat input",IF(NOT(ISBLANK(D43)),"Override used","Catalog basis")))))))</f>
        <v/>
      </c>
      <c r="H43" s="1"/>
      <c r="I43" s="12" t="str">
        <f>IF(A43="","",IF(COUNTIF(Components!$A$8:$A$107,A43)&lt;&gt;1,"Select a unique catalog component",VLOOKUP(A43,Components!$A$8:$F$107,6,FALSE)))</f>
        <v/>
      </c>
    </row>
    <row r="44" spans="1:9" ht="48" customHeight="1">
      <c r="A44" s="4"/>
      <c r="B44" s="11"/>
      <c r="C44" s="6" t="str">
        <f>IF(A44="","",IF(COUNTIF(Components!$A$8:$A$107,A44)&lt;&gt;1,"Pending",VLOOKUP(A44,Components!$A$8:$F$107,5,FALSE)))</f>
        <v/>
      </c>
      <c r="D44" s="5"/>
      <c r="E44" s="6" t="str">
        <f t="shared" si="2"/>
        <v/>
      </c>
      <c r="F44" s="6" t="str">
        <f t="shared" si="3"/>
        <v/>
      </c>
      <c r="G44" s="1" t="str">
        <f>IF(A44="",IF(OR(NOT(ISBLANK(B44)),NOT(ISBLANK(D44))),"Needs component",""),IF(COUNTIF(Components!$A$8:$A$107,A44)&lt;&gt;1,"Invalid component",IF(ISBLANK(B44),"Needs quantity",IF(NOT(ISNUMBER(B44)),"Invalid quantity",IF(OR(B44&lt;0,B44&lt;&gt;INT(B44)),"Invalid quantity",IF(NOT(ISNUMBER(E44)),"Needs heat input",IF(NOT(ISBLANK(D44)),"Override used","Catalog basis")))))))</f>
        <v/>
      </c>
      <c r="H44" s="1"/>
      <c r="I44" s="12" t="str">
        <f>IF(A44="","",IF(COUNTIF(Components!$A$8:$A$107,A44)&lt;&gt;1,"Select a unique catalog component",VLOOKUP(A44,Components!$A$8:$F$107,6,FALSE)))</f>
        <v/>
      </c>
    </row>
    <row r="45" spans="1:9" ht="48" customHeight="1">
      <c r="A45" s="4"/>
      <c r="B45" s="11"/>
      <c r="C45" s="6" t="str">
        <f>IF(A45="","",IF(COUNTIF(Components!$A$8:$A$107,A45)&lt;&gt;1,"Pending",VLOOKUP(A45,Components!$A$8:$F$107,5,FALSE)))</f>
        <v/>
      </c>
      <c r="D45" s="5"/>
      <c r="E45" s="6" t="str">
        <f t="shared" si="2"/>
        <v/>
      </c>
      <c r="F45" s="6" t="str">
        <f t="shared" si="3"/>
        <v/>
      </c>
      <c r="G45" s="1" t="str">
        <f>IF(A45="",IF(OR(NOT(ISBLANK(B45)),NOT(ISBLANK(D45))),"Needs component",""),IF(COUNTIF(Components!$A$8:$A$107,A45)&lt;&gt;1,"Invalid component",IF(ISBLANK(B45),"Needs quantity",IF(NOT(ISNUMBER(B45)),"Invalid quantity",IF(OR(B45&lt;0,B45&lt;&gt;INT(B45)),"Invalid quantity",IF(NOT(ISNUMBER(E45)),"Needs heat input",IF(NOT(ISBLANK(D45)),"Override used","Catalog basis")))))))</f>
        <v/>
      </c>
      <c r="H45" s="1"/>
      <c r="I45" s="12" t="str">
        <f>IF(A45="","",IF(COUNTIF(Components!$A$8:$A$107,A45)&lt;&gt;1,"Select a unique catalog component",VLOOKUP(A45,Components!$A$8:$F$107,6,FALSE)))</f>
        <v/>
      </c>
    </row>
    <row r="46" spans="1:9" ht="48" customHeight="1">
      <c r="A46" s="4"/>
      <c r="B46" s="11"/>
      <c r="C46" s="6" t="str">
        <f>IF(A46="","",IF(COUNTIF(Components!$A$8:$A$107,A46)&lt;&gt;1,"Pending",VLOOKUP(A46,Components!$A$8:$F$107,5,FALSE)))</f>
        <v/>
      </c>
      <c r="D46" s="5"/>
      <c r="E46" s="6" t="str">
        <f t="shared" si="2"/>
        <v/>
      </c>
      <c r="F46" s="6" t="str">
        <f t="shared" si="3"/>
        <v/>
      </c>
      <c r="G46" s="1" t="str">
        <f>IF(A46="",IF(OR(NOT(ISBLANK(B46)),NOT(ISBLANK(D46))),"Needs component",""),IF(COUNTIF(Components!$A$8:$A$107,A46)&lt;&gt;1,"Invalid component",IF(ISBLANK(B46),"Needs quantity",IF(NOT(ISNUMBER(B46)),"Invalid quantity",IF(OR(B46&lt;0,B46&lt;&gt;INT(B46)),"Invalid quantity",IF(NOT(ISNUMBER(E46)),"Needs heat input",IF(NOT(ISBLANK(D46)),"Override used","Catalog basis")))))))</f>
        <v/>
      </c>
      <c r="H46" s="1"/>
      <c r="I46" s="12" t="str">
        <f>IF(A46="","",IF(COUNTIF(Components!$A$8:$A$107,A46)&lt;&gt;1,"Select a unique catalog component",VLOOKUP(A46,Components!$A$8:$F$107,6,FALSE)))</f>
        <v/>
      </c>
    </row>
    <row r="47" spans="1:9" ht="48" customHeight="1">
      <c r="A47" s="4"/>
      <c r="B47" s="11"/>
      <c r="C47" s="6" t="str">
        <f>IF(A47="","",IF(COUNTIF(Components!$A$8:$A$107,A47)&lt;&gt;1,"Pending",VLOOKUP(A47,Components!$A$8:$F$107,5,FALSE)))</f>
        <v/>
      </c>
      <c r="D47" s="5"/>
      <c r="E47" s="6" t="str">
        <f t="shared" si="2"/>
        <v/>
      </c>
      <c r="F47" s="6" t="str">
        <f t="shared" si="3"/>
        <v/>
      </c>
      <c r="G47" s="1" t="str">
        <f>IF(A47="",IF(OR(NOT(ISBLANK(B47)),NOT(ISBLANK(D47))),"Needs component",""),IF(COUNTIF(Components!$A$8:$A$107,A47)&lt;&gt;1,"Invalid component",IF(ISBLANK(B47),"Needs quantity",IF(NOT(ISNUMBER(B47)),"Invalid quantity",IF(OR(B47&lt;0,B47&lt;&gt;INT(B47)),"Invalid quantity",IF(NOT(ISNUMBER(E47)),"Needs heat input",IF(NOT(ISBLANK(D47)),"Override used","Catalog basis")))))))</f>
        <v/>
      </c>
      <c r="H47" s="1"/>
      <c r="I47" s="12" t="str">
        <f>IF(A47="","",IF(COUNTIF(Components!$A$8:$A$107,A47)&lt;&gt;1,"Select a unique catalog component",VLOOKUP(A47,Components!$A$8:$F$107,6,FALSE)))</f>
        <v/>
      </c>
    </row>
    <row r="48" spans="1:9" ht="48" customHeight="1">
      <c r="A48" s="4"/>
      <c r="B48" s="11"/>
      <c r="C48" s="6" t="str">
        <f>IF(A48="","",IF(COUNTIF(Components!$A$8:$A$107,A48)&lt;&gt;1,"Pending",VLOOKUP(A48,Components!$A$8:$F$107,5,FALSE)))</f>
        <v/>
      </c>
      <c r="D48" s="5"/>
      <c r="E48" s="6" t="str">
        <f t="shared" si="2"/>
        <v/>
      </c>
      <c r="F48" s="6" t="str">
        <f t="shared" si="3"/>
        <v/>
      </c>
      <c r="G48" s="1" t="str">
        <f>IF(A48="",IF(OR(NOT(ISBLANK(B48)),NOT(ISBLANK(D48))),"Needs component",""),IF(COUNTIF(Components!$A$8:$A$107,A48)&lt;&gt;1,"Invalid component",IF(ISBLANK(B48),"Needs quantity",IF(NOT(ISNUMBER(B48)),"Invalid quantity",IF(OR(B48&lt;0,B48&lt;&gt;INT(B48)),"Invalid quantity",IF(NOT(ISNUMBER(E48)),"Needs heat input",IF(NOT(ISBLANK(D48)),"Override used","Catalog basis")))))))</f>
        <v/>
      </c>
      <c r="H48" s="1"/>
      <c r="I48" s="12" t="str">
        <f>IF(A48="","",IF(COUNTIF(Components!$A$8:$A$107,A48)&lt;&gt;1,"Select a unique catalog component",VLOOKUP(A48,Components!$A$8:$F$107,6,FALSE)))</f>
        <v/>
      </c>
    </row>
    <row r="49" spans="1:9" ht="48" customHeight="1">
      <c r="A49" s="4"/>
      <c r="B49" s="11"/>
      <c r="C49" s="6" t="str">
        <f>IF(A49="","",IF(COUNTIF(Components!$A$8:$A$107,A49)&lt;&gt;1,"Pending",VLOOKUP(A49,Components!$A$8:$F$107,5,FALSE)))</f>
        <v/>
      </c>
      <c r="D49" s="5"/>
      <c r="E49" s="6" t="str">
        <f t="shared" si="2"/>
        <v/>
      </c>
      <c r="F49" s="6" t="str">
        <f t="shared" si="3"/>
        <v/>
      </c>
      <c r="G49" s="1" t="str">
        <f>IF(A49="",IF(OR(NOT(ISBLANK(B49)),NOT(ISBLANK(D49))),"Needs component",""),IF(COUNTIF(Components!$A$8:$A$107,A49)&lt;&gt;1,"Invalid component",IF(ISBLANK(B49),"Needs quantity",IF(NOT(ISNUMBER(B49)),"Invalid quantity",IF(OR(B49&lt;0,B49&lt;&gt;INT(B49)),"Invalid quantity",IF(NOT(ISNUMBER(E49)),"Needs heat input",IF(NOT(ISBLANK(D49)),"Override used","Catalog basis")))))))</f>
        <v/>
      </c>
      <c r="H49" s="1"/>
      <c r="I49" s="12" t="str">
        <f>IF(A49="","",IF(COUNTIF(Components!$A$8:$A$107,A49)&lt;&gt;1,"Select a unique catalog component",VLOOKUP(A49,Components!$A$8:$F$107,6,FALSE)))</f>
        <v/>
      </c>
    </row>
    <row r="50" spans="1:9" ht="48" customHeight="1">
      <c r="A50" s="4"/>
      <c r="B50" s="11"/>
      <c r="C50" s="6" t="str">
        <f>IF(A50="","",IF(COUNTIF(Components!$A$8:$A$107,A50)&lt;&gt;1,"Pending",VLOOKUP(A50,Components!$A$8:$F$107,5,FALSE)))</f>
        <v/>
      </c>
      <c r="D50" s="5"/>
      <c r="E50" s="6" t="str">
        <f t="shared" si="2"/>
        <v/>
      </c>
      <c r="F50" s="6" t="str">
        <f t="shared" si="3"/>
        <v/>
      </c>
      <c r="G50" s="1" t="str">
        <f>IF(A50="",IF(OR(NOT(ISBLANK(B50)),NOT(ISBLANK(D50))),"Needs component",""),IF(COUNTIF(Components!$A$8:$A$107,A50)&lt;&gt;1,"Invalid component",IF(ISBLANK(B50),"Needs quantity",IF(NOT(ISNUMBER(B50)),"Invalid quantity",IF(OR(B50&lt;0,B50&lt;&gt;INT(B50)),"Invalid quantity",IF(NOT(ISNUMBER(E50)),"Needs heat input",IF(NOT(ISBLANK(D50)),"Override used","Catalog basis")))))))</f>
        <v/>
      </c>
      <c r="H50" s="1"/>
      <c r="I50" s="12" t="str">
        <f>IF(A50="","",IF(COUNTIF(Components!$A$8:$A$107,A50)&lt;&gt;1,"Select a unique catalog component",VLOOKUP(A50,Components!$A$8:$F$107,6,FALSE)))</f>
        <v/>
      </c>
    </row>
    <row r="51" spans="1:9" ht="48" customHeight="1">
      <c r="A51" s="4"/>
      <c r="B51" s="11"/>
      <c r="C51" s="6" t="str">
        <f>IF(A51="","",IF(COUNTIF(Components!$A$8:$A$107,A51)&lt;&gt;1,"Pending",VLOOKUP(A51,Components!$A$8:$F$107,5,FALSE)))</f>
        <v/>
      </c>
      <c r="D51" s="5"/>
      <c r="E51" s="6" t="str">
        <f t="shared" si="2"/>
        <v/>
      </c>
      <c r="F51" s="6" t="str">
        <f t="shared" si="3"/>
        <v/>
      </c>
      <c r="G51" s="1" t="str">
        <f>IF(A51="",IF(OR(NOT(ISBLANK(B51)),NOT(ISBLANK(D51))),"Needs component",""),IF(COUNTIF(Components!$A$8:$A$107,A51)&lt;&gt;1,"Invalid component",IF(ISBLANK(B51),"Needs quantity",IF(NOT(ISNUMBER(B51)),"Invalid quantity",IF(OR(B51&lt;0,B51&lt;&gt;INT(B51)),"Invalid quantity",IF(NOT(ISNUMBER(E51)),"Needs heat input",IF(NOT(ISBLANK(D51)),"Override used","Catalog basis")))))))</f>
        <v/>
      </c>
      <c r="H51" s="1"/>
      <c r="I51" s="12" t="str">
        <f>IF(A51="","",IF(COUNTIF(Components!$A$8:$A$107,A51)&lt;&gt;1,"Select a unique catalog component",VLOOKUP(A51,Components!$A$8:$F$107,6,FALSE)))</f>
        <v/>
      </c>
    </row>
    <row r="52" spans="1:9" ht="48" customHeight="1">
      <c r="A52" s="4"/>
      <c r="B52" s="11"/>
      <c r="C52" s="6" t="str">
        <f>IF(A52="","",IF(COUNTIF(Components!$A$8:$A$107,A52)&lt;&gt;1,"Pending",VLOOKUP(A52,Components!$A$8:$F$107,5,FALSE)))</f>
        <v/>
      </c>
      <c r="D52" s="5"/>
      <c r="E52" s="6" t="str">
        <f t="shared" si="2"/>
        <v/>
      </c>
      <c r="F52" s="6" t="str">
        <f t="shared" si="3"/>
        <v/>
      </c>
      <c r="G52" s="1" t="str">
        <f>IF(A52="",IF(OR(NOT(ISBLANK(B52)),NOT(ISBLANK(D52))),"Needs component",""),IF(COUNTIF(Components!$A$8:$A$107,A52)&lt;&gt;1,"Invalid component",IF(ISBLANK(B52),"Needs quantity",IF(NOT(ISNUMBER(B52)),"Invalid quantity",IF(OR(B52&lt;0,B52&lt;&gt;INT(B52)),"Invalid quantity",IF(NOT(ISNUMBER(E52)),"Needs heat input",IF(NOT(ISBLANK(D52)),"Override used","Catalog basis")))))))</f>
        <v/>
      </c>
      <c r="H52" s="1"/>
      <c r="I52" s="12" t="str">
        <f>IF(A52="","",IF(COUNTIF(Components!$A$8:$A$107,A52)&lt;&gt;1,"Select a unique catalog component",VLOOKUP(A52,Components!$A$8:$F$107,6,FALSE)))</f>
        <v/>
      </c>
    </row>
    <row r="53" spans="1:9" ht="48" customHeight="1">
      <c r="A53" s="4"/>
      <c r="B53" s="11"/>
      <c r="C53" s="6" t="str">
        <f>IF(A53="","",IF(COUNTIF(Components!$A$8:$A$107,A53)&lt;&gt;1,"Pending",VLOOKUP(A53,Components!$A$8:$F$107,5,FALSE)))</f>
        <v/>
      </c>
      <c r="D53" s="5"/>
      <c r="E53" s="6" t="str">
        <f t="shared" si="2"/>
        <v/>
      </c>
      <c r="F53" s="6" t="str">
        <f t="shared" si="3"/>
        <v/>
      </c>
      <c r="G53" s="1" t="str">
        <f>IF(A53="",IF(OR(NOT(ISBLANK(B53)),NOT(ISBLANK(D53))),"Needs component",""),IF(COUNTIF(Components!$A$8:$A$107,A53)&lt;&gt;1,"Invalid component",IF(ISBLANK(B53),"Needs quantity",IF(NOT(ISNUMBER(B53)),"Invalid quantity",IF(OR(B53&lt;0,B53&lt;&gt;INT(B53)),"Invalid quantity",IF(NOT(ISNUMBER(E53)),"Needs heat input",IF(NOT(ISBLANK(D53)),"Override used","Catalog basis")))))))</f>
        <v/>
      </c>
      <c r="H53" s="1"/>
      <c r="I53" s="12" t="str">
        <f>IF(A53="","",IF(COUNTIF(Components!$A$8:$A$107,A53)&lt;&gt;1,"Select a unique catalog component",VLOOKUP(A53,Components!$A$8:$F$107,6,FALSE)))</f>
        <v/>
      </c>
    </row>
    <row r="54" spans="1:9" ht="48" customHeight="1">
      <c r="A54" s="4"/>
      <c r="B54" s="11"/>
      <c r="C54" s="6" t="str">
        <f>IF(A54="","",IF(COUNTIF(Components!$A$8:$A$107,A54)&lt;&gt;1,"Pending",VLOOKUP(A54,Components!$A$8:$F$107,5,FALSE)))</f>
        <v/>
      </c>
      <c r="D54" s="5"/>
      <c r="E54" s="6" t="str">
        <f t="shared" si="2"/>
        <v/>
      </c>
      <c r="F54" s="6" t="str">
        <f t="shared" si="3"/>
        <v/>
      </c>
      <c r="G54" s="1" t="str">
        <f>IF(A54="",IF(OR(NOT(ISBLANK(B54)),NOT(ISBLANK(D54))),"Needs component",""),IF(COUNTIF(Components!$A$8:$A$107,A54)&lt;&gt;1,"Invalid component",IF(ISBLANK(B54),"Needs quantity",IF(NOT(ISNUMBER(B54)),"Invalid quantity",IF(OR(B54&lt;0,B54&lt;&gt;INT(B54)),"Invalid quantity",IF(NOT(ISNUMBER(E54)),"Needs heat input",IF(NOT(ISBLANK(D54)),"Override used","Catalog basis")))))))</f>
        <v/>
      </c>
      <c r="H54" s="1"/>
      <c r="I54" s="12" t="str">
        <f>IF(A54="","",IF(COUNTIF(Components!$A$8:$A$107,A54)&lt;&gt;1,"Select a unique catalog component",VLOOKUP(A54,Components!$A$8:$F$107,6,FALSE)))</f>
        <v/>
      </c>
    </row>
    <row r="55" spans="1:9" ht="48" customHeight="1">
      <c r="A55" s="4"/>
      <c r="B55" s="11"/>
      <c r="C55" s="6" t="str">
        <f>IF(A55="","",IF(COUNTIF(Components!$A$8:$A$107,A55)&lt;&gt;1,"Pending",VLOOKUP(A55,Components!$A$8:$F$107,5,FALSE)))</f>
        <v/>
      </c>
      <c r="D55" s="5"/>
      <c r="E55" s="6" t="str">
        <f t="shared" si="2"/>
        <v/>
      </c>
      <c r="F55" s="6" t="str">
        <f t="shared" si="3"/>
        <v/>
      </c>
      <c r="G55" s="1" t="str">
        <f>IF(A55="",IF(OR(NOT(ISBLANK(B55)),NOT(ISBLANK(D55))),"Needs component",""),IF(COUNTIF(Components!$A$8:$A$107,A55)&lt;&gt;1,"Invalid component",IF(ISBLANK(B55),"Needs quantity",IF(NOT(ISNUMBER(B55)),"Invalid quantity",IF(OR(B55&lt;0,B55&lt;&gt;INT(B55)),"Invalid quantity",IF(NOT(ISNUMBER(E55)),"Needs heat input",IF(NOT(ISBLANK(D55)),"Override used","Catalog basis")))))))</f>
        <v/>
      </c>
      <c r="H55" s="1"/>
      <c r="I55" s="12" t="str">
        <f>IF(A55="","",IF(COUNTIF(Components!$A$8:$A$107,A55)&lt;&gt;1,"Select a unique catalog component",VLOOKUP(A55,Components!$A$8:$F$107,6,FALSE)))</f>
        <v/>
      </c>
    </row>
    <row r="56" spans="1:9" ht="48" customHeight="1">
      <c r="A56" s="4"/>
      <c r="B56" s="11"/>
      <c r="C56" s="6" t="str">
        <f>IF(A56="","",IF(COUNTIF(Components!$A$8:$A$107,A56)&lt;&gt;1,"Pending",VLOOKUP(A56,Components!$A$8:$F$107,5,FALSE)))</f>
        <v/>
      </c>
      <c r="D56" s="5"/>
      <c r="E56" s="6" t="str">
        <f t="shared" si="2"/>
        <v/>
      </c>
      <c r="F56" s="6" t="str">
        <f t="shared" si="3"/>
        <v/>
      </c>
      <c r="G56" s="1" t="str">
        <f>IF(A56="",IF(OR(NOT(ISBLANK(B56)),NOT(ISBLANK(D56))),"Needs component",""),IF(COUNTIF(Components!$A$8:$A$107,A56)&lt;&gt;1,"Invalid component",IF(ISBLANK(B56),"Needs quantity",IF(NOT(ISNUMBER(B56)),"Invalid quantity",IF(OR(B56&lt;0,B56&lt;&gt;INT(B56)),"Invalid quantity",IF(NOT(ISNUMBER(E56)),"Needs heat input",IF(NOT(ISBLANK(D56)),"Override used","Catalog basis")))))))</f>
        <v/>
      </c>
      <c r="H56" s="1"/>
      <c r="I56" s="12" t="str">
        <f>IF(A56="","",IF(COUNTIF(Components!$A$8:$A$107,A56)&lt;&gt;1,"Select a unique catalog component",VLOOKUP(A56,Components!$A$8:$F$107,6,FALSE)))</f>
        <v/>
      </c>
    </row>
    <row r="57" spans="1:9" ht="48" customHeight="1">
      <c r="A57" s="4"/>
      <c r="B57" s="11"/>
      <c r="C57" s="6" t="str">
        <f>IF(A57="","",IF(COUNTIF(Components!$A$8:$A$107,A57)&lt;&gt;1,"Pending",VLOOKUP(A57,Components!$A$8:$F$107,5,FALSE)))</f>
        <v/>
      </c>
      <c r="D57" s="5"/>
      <c r="E57" s="6" t="str">
        <f t="shared" si="2"/>
        <v/>
      </c>
      <c r="F57" s="6" t="str">
        <f t="shared" si="3"/>
        <v/>
      </c>
      <c r="G57" s="1" t="str">
        <f>IF(A57="",IF(OR(NOT(ISBLANK(B57)),NOT(ISBLANK(D57))),"Needs component",""),IF(COUNTIF(Components!$A$8:$A$107,A57)&lt;&gt;1,"Invalid component",IF(ISBLANK(B57),"Needs quantity",IF(NOT(ISNUMBER(B57)),"Invalid quantity",IF(OR(B57&lt;0,B57&lt;&gt;INT(B57)),"Invalid quantity",IF(NOT(ISNUMBER(E57)),"Needs heat input",IF(NOT(ISBLANK(D57)),"Override used","Catalog basis")))))))</f>
        <v/>
      </c>
      <c r="H57" s="1"/>
      <c r="I57" s="12" t="str">
        <f>IF(A57="","",IF(COUNTIF(Components!$A$8:$A$107,A57)&lt;&gt;1,"Select a unique catalog component",VLOOKUP(A57,Components!$A$8:$F$107,6,FALSE)))</f>
        <v/>
      </c>
    </row>
    <row r="58" spans="1:9" ht="48" customHeight="1">
      <c r="A58" s="4"/>
      <c r="B58" s="11"/>
      <c r="C58" s="6" t="str">
        <f>IF(A58="","",IF(COUNTIF(Components!$A$8:$A$107,A58)&lt;&gt;1,"Pending",VLOOKUP(A58,Components!$A$8:$F$107,5,FALSE)))</f>
        <v/>
      </c>
      <c r="D58" s="5"/>
      <c r="E58" s="6" t="str">
        <f t="shared" si="2"/>
        <v/>
      </c>
      <c r="F58" s="6" t="str">
        <f t="shared" si="3"/>
        <v/>
      </c>
      <c r="G58" s="1" t="str">
        <f>IF(A58="",IF(OR(NOT(ISBLANK(B58)),NOT(ISBLANK(D58))),"Needs component",""),IF(COUNTIF(Components!$A$8:$A$107,A58)&lt;&gt;1,"Invalid component",IF(ISBLANK(B58),"Needs quantity",IF(NOT(ISNUMBER(B58)),"Invalid quantity",IF(OR(B58&lt;0,B58&lt;&gt;INT(B58)),"Invalid quantity",IF(NOT(ISNUMBER(E58)),"Needs heat input",IF(NOT(ISBLANK(D58)),"Override used","Catalog basis")))))))</f>
        <v/>
      </c>
      <c r="H58" s="1"/>
      <c r="I58" s="12" t="str">
        <f>IF(A58="","",IF(COUNTIF(Components!$A$8:$A$107,A58)&lt;&gt;1,"Select a unique catalog component",VLOOKUP(A58,Components!$A$8:$F$107,6,FALSE)))</f>
        <v/>
      </c>
    </row>
    <row r="59" spans="1:9" ht="48" customHeight="1">
      <c r="A59" s="4"/>
      <c r="B59" s="11"/>
      <c r="C59" s="6" t="str">
        <f>IF(A59="","",IF(COUNTIF(Components!$A$8:$A$107,A59)&lt;&gt;1,"Pending",VLOOKUP(A59,Components!$A$8:$F$107,5,FALSE)))</f>
        <v/>
      </c>
      <c r="D59" s="5"/>
      <c r="E59" s="6" t="str">
        <f t="shared" si="2"/>
        <v/>
      </c>
      <c r="F59" s="6" t="str">
        <f t="shared" si="3"/>
        <v/>
      </c>
      <c r="G59" s="1" t="str">
        <f>IF(A59="",IF(OR(NOT(ISBLANK(B59)),NOT(ISBLANK(D59))),"Needs component",""),IF(COUNTIF(Components!$A$8:$A$107,A59)&lt;&gt;1,"Invalid component",IF(ISBLANK(B59),"Needs quantity",IF(NOT(ISNUMBER(B59)),"Invalid quantity",IF(OR(B59&lt;0,B59&lt;&gt;INT(B59)),"Invalid quantity",IF(NOT(ISNUMBER(E59)),"Needs heat input",IF(NOT(ISBLANK(D59)),"Override used","Catalog basis")))))))</f>
        <v/>
      </c>
      <c r="H59" s="1"/>
      <c r="I59" s="12" t="str">
        <f>IF(A59="","",IF(COUNTIF(Components!$A$8:$A$107,A59)&lt;&gt;1,"Select a unique catalog component",VLOOKUP(A59,Components!$A$8:$F$107,6,FALSE)))</f>
        <v/>
      </c>
    </row>
    <row r="60" spans="1:9" ht="48" customHeight="1">
      <c r="A60" s="4"/>
      <c r="B60" s="11"/>
      <c r="C60" s="6" t="str">
        <f>IF(A60="","",IF(COUNTIF(Components!$A$8:$A$107,A60)&lt;&gt;1,"Pending",VLOOKUP(A60,Components!$A$8:$F$107,5,FALSE)))</f>
        <v/>
      </c>
      <c r="D60" s="5"/>
      <c r="E60" s="6" t="str">
        <f t="shared" si="2"/>
        <v/>
      </c>
      <c r="F60" s="6" t="str">
        <f t="shared" si="3"/>
        <v/>
      </c>
      <c r="G60" s="1" t="str">
        <f>IF(A60="",IF(OR(NOT(ISBLANK(B60)),NOT(ISBLANK(D60))),"Needs component",""),IF(COUNTIF(Components!$A$8:$A$107,A60)&lt;&gt;1,"Invalid component",IF(ISBLANK(B60),"Needs quantity",IF(NOT(ISNUMBER(B60)),"Invalid quantity",IF(OR(B60&lt;0,B60&lt;&gt;INT(B60)),"Invalid quantity",IF(NOT(ISNUMBER(E60)),"Needs heat input",IF(NOT(ISBLANK(D60)),"Override used","Catalog basis")))))))</f>
        <v/>
      </c>
      <c r="H60" s="1"/>
      <c r="I60" s="12" t="str">
        <f>IF(A60="","",IF(COUNTIF(Components!$A$8:$A$107,A60)&lt;&gt;1,"Select a unique catalog component",VLOOKUP(A60,Components!$A$8:$F$107,6,FALSE)))</f>
        <v/>
      </c>
    </row>
    <row r="61" spans="1:9" ht="48" customHeight="1">
      <c r="A61" s="4"/>
      <c r="B61" s="11"/>
      <c r="C61" s="6" t="str">
        <f>IF(A61="","",IF(COUNTIF(Components!$A$8:$A$107,A61)&lt;&gt;1,"Pending",VLOOKUP(A61,Components!$A$8:$F$107,5,FALSE)))</f>
        <v/>
      </c>
      <c r="D61" s="5"/>
      <c r="E61" s="6" t="str">
        <f t="shared" si="2"/>
        <v/>
      </c>
      <c r="F61" s="6" t="str">
        <f t="shared" si="3"/>
        <v/>
      </c>
      <c r="G61" s="1" t="str">
        <f>IF(A61="",IF(OR(NOT(ISBLANK(B61)),NOT(ISBLANK(D61))),"Needs component",""),IF(COUNTIF(Components!$A$8:$A$107,A61)&lt;&gt;1,"Invalid component",IF(ISBLANK(B61),"Needs quantity",IF(NOT(ISNUMBER(B61)),"Invalid quantity",IF(OR(B61&lt;0,B61&lt;&gt;INT(B61)),"Invalid quantity",IF(NOT(ISNUMBER(E61)),"Needs heat input",IF(NOT(ISBLANK(D61)),"Override used","Catalog basis")))))))</f>
        <v/>
      </c>
      <c r="H61" s="1"/>
      <c r="I61" s="12" t="str">
        <f>IF(A61="","",IF(COUNTIF(Components!$A$8:$A$107,A61)&lt;&gt;1,"Select a unique catalog component",VLOOKUP(A61,Components!$A$8:$F$107,6,FALSE)))</f>
        <v/>
      </c>
    </row>
    <row r="62" spans="1:9" ht="48" customHeight="1">
      <c r="A62" s="4"/>
      <c r="B62" s="11"/>
      <c r="C62" s="6" t="str">
        <f>IF(A62="","",IF(COUNTIF(Components!$A$8:$A$107,A62)&lt;&gt;1,"Pending",VLOOKUP(A62,Components!$A$8:$F$107,5,FALSE)))</f>
        <v/>
      </c>
      <c r="D62" s="5"/>
      <c r="E62" s="6" t="str">
        <f t="shared" si="2"/>
        <v/>
      </c>
      <c r="F62" s="6" t="str">
        <f t="shared" si="3"/>
        <v/>
      </c>
      <c r="G62" s="1" t="str">
        <f>IF(A62="",IF(OR(NOT(ISBLANK(B62)),NOT(ISBLANK(D62))),"Needs component",""),IF(COUNTIF(Components!$A$8:$A$107,A62)&lt;&gt;1,"Invalid component",IF(ISBLANK(B62),"Needs quantity",IF(NOT(ISNUMBER(B62)),"Invalid quantity",IF(OR(B62&lt;0,B62&lt;&gt;INT(B62)),"Invalid quantity",IF(NOT(ISNUMBER(E62)),"Needs heat input",IF(NOT(ISBLANK(D62)),"Override used","Catalog basis")))))))</f>
        <v/>
      </c>
      <c r="H62" s="1"/>
      <c r="I62" s="12" t="str">
        <f>IF(A62="","",IF(COUNTIF(Components!$A$8:$A$107,A62)&lt;&gt;1,"Select a unique catalog component",VLOOKUP(A62,Components!$A$8:$F$107,6,FALSE)))</f>
        <v/>
      </c>
    </row>
    <row r="63" spans="1:9" ht="48" customHeight="1">
      <c r="A63" s="4"/>
      <c r="B63" s="11"/>
      <c r="C63" s="6" t="str">
        <f>IF(A63="","",IF(COUNTIF(Components!$A$8:$A$107,A63)&lt;&gt;1,"Pending",VLOOKUP(A63,Components!$A$8:$F$107,5,FALSE)))</f>
        <v/>
      </c>
      <c r="D63" s="5"/>
      <c r="E63" s="6" t="str">
        <f t="shared" si="2"/>
        <v/>
      </c>
      <c r="F63" s="6" t="str">
        <f t="shared" si="3"/>
        <v/>
      </c>
      <c r="G63" s="1" t="str">
        <f>IF(A63="",IF(OR(NOT(ISBLANK(B63)),NOT(ISBLANK(D63))),"Needs component",""),IF(COUNTIF(Components!$A$8:$A$107,A63)&lt;&gt;1,"Invalid component",IF(ISBLANK(B63),"Needs quantity",IF(NOT(ISNUMBER(B63)),"Invalid quantity",IF(OR(B63&lt;0,B63&lt;&gt;INT(B63)),"Invalid quantity",IF(NOT(ISNUMBER(E63)),"Needs heat input",IF(NOT(ISBLANK(D63)),"Override used","Catalog basis")))))))</f>
        <v/>
      </c>
      <c r="H63" s="1"/>
      <c r="I63" s="12" t="str">
        <f>IF(A63="","",IF(COUNTIF(Components!$A$8:$A$107,A63)&lt;&gt;1,"Select a unique catalog component",VLOOKUP(A63,Components!$A$8:$F$107,6,FALSE)))</f>
        <v/>
      </c>
    </row>
    <row r="64" spans="1:9" ht="48" customHeight="1">
      <c r="A64" s="4"/>
      <c r="B64" s="11"/>
      <c r="C64" s="6" t="str">
        <f>IF(A64="","",IF(COUNTIF(Components!$A$8:$A$107,A64)&lt;&gt;1,"Pending",VLOOKUP(A64,Components!$A$8:$F$107,5,FALSE)))</f>
        <v/>
      </c>
      <c r="D64" s="5"/>
      <c r="E64" s="6" t="str">
        <f t="shared" si="2"/>
        <v/>
      </c>
      <c r="F64" s="6" t="str">
        <f t="shared" si="3"/>
        <v/>
      </c>
      <c r="G64" s="1" t="str">
        <f>IF(A64="",IF(OR(NOT(ISBLANK(B64)),NOT(ISBLANK(D64))),"Needs component",""),IF(COUNTIF(Components!$A$8:$A$107,A64)&lt;&gt;1,"Invalid component",IF(ISBLANK(B64),"Needs quantity",IF(NOT(ISNUMBER(B64)),"Invalid quantity",IF(OR(B64&lt;0,B64&lt;&gt;INT(B64)),"Invalid quantity",IF(NOT(ISNUMBER(E64)),"Needs heat input",IF(NOT(ISBLANK(D64)),"Override used","Catalog basis")))))))</f>
        <v/>
      </c>
      <c r="H64" s="1"/>
      <c r="I64" s="12" t="str">
        <f>IF(A64="","",IF(COUNTIF(Components!$A$8:$A$107,A64)&lt;&gt;1,"Select a unique catalog component",VLOOKUP(A64,Components!$A$8:$F$107,6,FALSE)))</f>
        <v/>
      </c>
    </row>
    <row r="65" spans="1:9" ht="48" customHeight="1">
      <c r="A65" s="4"/>
      <c r="B65" s="11"/>
      <c r="C65" s="6" t="str">
        <f>IF(A65="","",IF(COUNTIF(Components!$A$8:$A$107,A65)&lt;&gt;1,"Pending",VLOOKUP(A65,Components!$A$8:$F$107,5,FALSE)))</f>
        <v/>
      </c>
      <c r="D65" s="5"/>
      <c r="E65" s="6" t="str">
        <f t="shared" si="2"/>
        <v/>
      </c>
      <c r="F65" s="6" t="str">
        <f t="shared" si="3"/>
        <v/>
      </c>
      <c r="G65" s="1" t="str">
        <f>IF(A65="",IF(OR(NOT(ISBLANK(B65)),NOT(ISBLANK(D65))),"Needs component",""),IF(COUNTIF(Components!$A$8:$A$107,A65)&lt;&gt;1,"Invalid component",IF(ISBLANK(B65),"Needs quantity",IF(NOT(ISNUMBER(B65)),"Invalid quantity",IF(OR(B65&lt;0,B65&lt;&gt;INT(B65)),"Invalid quantity",IF(NOT(ISNUMBER(E65)),"Needs heat input",IF(NOT(ISBLANK(D65)),"Override used","Catalog basis")))))))</f>
        <v/>
      </c>
      <c r="H65" s="1"/>
      <c r="I65" s="12" t="str">
        <f>IF(A65="","",IF(COUNTIF(Components!$A$8:$A$107,A65)&lt;&gt;1,"Select a unique catalog component",VLOOKUP(A65,Components!$A$8:$F$107,6,FALSE)))</f>
        <v/>
      </c>
    </row>
    <row r="66" spans="1:9" ht="48" customHeight="1">
      <c r="A66" s="4"/>
      <c r="B66" s="11"/>
      <c r="C66" s="6" t="str">
        <f>IF(A66="","",IF(COUNTIF(Components!$A$8:$A$107,A66)&lt;&gt;1,"Pending",VLOOKUP(A66,Components!$A$8:$F$107,5,FALSE)))</f>
        <v/>
      </c>
      <c r="D66" s="5"/>
      <c r="E66" s="6" t="str">
        <f t="shared" si="2"/>
        <v/>
      </c>
      <c r="F66" s="6" t="str">
        <f t="shared" si="3"/>
        <v/>
      </c>
      <c r="G66" s="1" t="str">
        <f>IF(A66="",IF(OR(NOT(ISBLANK(B66)),NOT(ISBLANK(D66))),"Needs component",""),IF(COUNTIF(Components!$A$8:$A$107,A66)&lt;&gt;1,"Invalid component",IF(ISBLANK(B66),"Needs quantity",IF(NOT(ISNUMBER(B66)),"Invalid quantity",IF(OR(B66&lt;0,B66&lt;&gt;INT(B66)),"Invalid quantity",IF(NOT(ISNUMBER(E66)),"Needs heat input",IF(NOT(ISBLANK(D66)),"Override used","Catalog basis")))))))</f>
        <v/>
      </c>
      <c r="H66" s="1"/>
      <c r="I66" s="12" t="str">
        <f>IF(A66="","",IF(COUNTIF(Components!$A$8:$A$107,A66)&lt;&gt;1,"Select a unique catalog component",VLOOKUP(A66,Components!$A$8:$F$107,6,FALSE)))</f>
        <v/>
      </c>
    </row>
    <row r="67" spans="1:9" ht="48" customHeight="1">
      <c r="A67" s="4"/>
      <c r="B67" s="11"/>
      <c r="C67" s="6" t="str">
        <f>IF(A67="","",IF(COUNTIF(Components!$A$8:$A$107,A67)&lt;&gt;1,"Pending",VLOOKUP(A67,Components!$A$8:$F$107,5,FALSE)))</f>
        <v/>
      </c>
      <c r="D67" s="5"/>
      <c r="E67" s="6" t="str">
        <f t="shared" si="2"/>
        <v/>
      </c>
      <c r="F67" s="6" t="str">
        <f t="shared" si="3"/>
        <v/>
      </c>
      <c r="G67" s="1" t="str">
        <f>IF(A67="",IF(OR(NOT(ISBLANK(B67)),NOT(ISBLANK(D67))),"Needs component",""),IF(COUNTIF(Components!$A$8:$A$107,A67)&lt;&gt;1,"Invalid component",IF(ISBLANK(B67),"Needs quantity",IF(NOT(ISNUMBER(B67)),"Invalid quantity",IF(OR(B67&lt;0,B67&lt;&gt;INT(B67)),"Invalid quantity",IF(NOT(ISNUMBER(E67)),"Needs heat input",IF(NOT(ISBLANK(D67)),"Override used","Catalog basis")))))))</f>
        <v/>
      </c>
      <c r="H67" s="1"/>
      <c r="I67" s="12" t="str">
        <f>IF(A67="","",IF(COUNTIF(Components!$A$8:$A$107,A67)&lt;&gt;1,"Select a unique catalog component",VLOOKUP(A67,Components!$A$8:$F$107,6,FALSE)))</f>
        <v/>
      </c>
    </row>
    <row r="68" spans="1:9" ht="48" customHeight="1">
      <c r="A68" s="4"/>
      <c r="B68" s="11"/>
      <c r="C68" s="6" t="str">
        <f>IF(A68="","",IF(COUNTIF(Components!$A$8:$A$107,A68)&lt;&gt;1,"Pending",VLOOKUP(A68,Components!$A$8:$F$107,5,FALSE)))</f>
        <v/>
      </c>
      <c r="D68" s="5"/>
      <c r="E68" s="6" t="str">
        <f t="shared" si="2"/>
        <v/>
      </c>
      <c r="F68" s="6" t="str">
        <f t="shared" si="3"/>
        <v/>
      </c>
      <c r="G68" s="1" t="str">
        <f>IF(A68="",IF(OR(NOT(ISBLANK(B68)),NOT(ISBLANK(D68))),"Needs component",""),IF(COUNTIF(Components!$A$8:$A$107,A68)&lt;&gt;1,"Invalid component",IF(ISBLANK(B68),"Needs quantity",IF(NOT(ISNUMBER(B68)),"Invalid quantity",IF(OR(B68&lt;0,B68&lt;&gt;INT(B68)),"Invalid quantity",IF(NOT(ISNUMBER(E68)),"Needs heat input",IF(NOT(ISBLANK(D68)),"Override used","Catalog basis")))))))</f>
        <v/>
      </c>
      <c r="H68" s="1"/>
      <c r="I68" s="12" t="str">
        <f>IF(A68="","",IF(COUNTIF(Components!$A$8:$A$107,A68)&lt;&gt;1,"Select a unique catalog component",VLOOKUP(A68,Components!$A$8:$F$107,6,FALSE)))</f>
        <v/>
      </c>
    </row>
    <row r="69" spans="1:9" ht="48" customHeight="1">
      <c r="A69" s="4"/>
      <c r="B69" s="11"/>
      <c r="C69" s="6" t="str">
        <f>IF(A69="","",IF(COUNTIF(Components!$A$8:$A$107,A69)&lt;&gt;1,"Pending",VLOOKUP(A69,Components!$A$8:$F$107,5,FALSE)))</f>
        <v/>
      </c>
      <c r="D69" s="5"/>
      <c r="E69" s="6" t="str">
        <f t="shared" si="2"/>
        <v/>
      </c>
      <c r="F69" s="6" t="str">
        <f t="shared" si="3"/>
        <v/>
      </c>
      <c r="G69" s="1" t="str">
        <f>IF(A69="",IF(OR(NOT(ISBLANK(B69)),NOT(ISBLANK(D69))),"Needs component",""),IF(COUNTIF(Components!$A$8:$A$107,A69)&lt;&gt;1,"Invalid component",IF(ISBLANK(B69),"Needs quantity",IF(NOT(ISNUMBER(B69)),"Invalid quantity",IF(OR(B69&lt;0,B69&lt;&gt;INT(B69)),"Invalid quantity",IF(NOT(ISNUMBER(E69)),"Needs heat input",IF(NOT(ISBLANK(D69)),"Override used","Catalog basis")))))))</f>
        <v/>
      </c>
      <c r="H69" s="1"/>
      <c r="I69" s="12" t="str">
        <f>IF(A69="","",IF(COUNTIF(Components!$A$8:$A$107,A69)&lt;&gt;1,"Select a unique catalog component",VLOOKUP(A69,Components!$A$8:$F$107,6,FALSE)))</f>
        <v/>
      </c>
    </row>
    <row r="70" spans="1:9" ht="48" customHeight="1">
      <c r="A70" s="4"/>
      <c r="B70" s="11"/>
      <c r="C70" s="6" t="str">
        <f>IF(A70="","",IF(COUNTIF(Components!$A$8:$A$107,A70)&lt;&gt;1,"Pending",VLOOKUP(A70,Components!$A$8:$F$107,5,FALSE)))</f>
        <v/>
      </c>
      <c r="D70" s="5"/>
      <c r="E70" s="6" t="str">
        <f t="shared" si="2"/>
        <v/>
      </c>
      <c r="F70" s="6" t="str">
        <f t="shared" si="3"/>
        <v/>
      </c>
      <c r="G70" s="1" t="str">
        <f>IF(A70="",IF(OR(NOT(ISBLANK(B70)),NOT(ISBLANK(D70))),"Needs component",""),IF(COUNTIF(Components!$A$8:$A$107,A70)&lt;&gt;1,"Invalid component",IF(ISBLANK(B70),"Needs quantity",IF(NOT(ISNUMBER(B70)),"Invalid quantity",IF(OR(B70&lt;0,B70&lt;&gt;INT(B70)),"Invalid quantity",IF(NOT(ISNUMBER(E70)),"Needs heat input",IF(NOT(ISBLANK(D70)),"Override used","Catalog basis")))))))</f>
        <v/>
      </c>
      <c r="H70" s="1"/>
      <c r="I70" s="12" t="str">
        <f>IF(A70="","",IF(COUNTIF(Components!$A$8:$A$107,A70)&lt;&gt;1,"Select a unique catalog component",VLOOKUP(A70,Components!$A$8:$F$107,6,FALSE)))</f>
        <v/>
      </c>
    </row>
  </sheetData>
  <conditionalFormatting sqref="G11:G70">
    <cfRule type="containsText" dxfId="0" priority="1" operator="containsText" text="Needs"/>
  </conditionalFormatting>
  <dataValidations count="3">
    <dataValidation type="list" sqref="A11:A70" xr:uid="{00000000-0002-0000-0100-000000000000}">
      <formula1>INDIRECT("'Components'!$A$8:$A$107")</formula1>
    </dataValidation>
    <dataValidation type="whole" sqref="B11:B70" xr:uid="{00000000-0002-0000-0100-000001000000}">
      <formula1>0</formula1>
      <formula2>100000</formula2>
    </dataValidation>
    <dataValidation type="decimal" operator="greaterThanOrEqual" sqref="D11:D70" xr:uid="{00000000-0002-0000-0100-000002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43C59"/>
  </sheetPr>
  <dimension ref="A1:H107"/>
  <sheetViews>
    <sheetView showGridLines="0" workbookViewId="0">
      <pane ySplit="7" topLeftCell="A27" activePane="bottomLeft" state="frozen"/>
      <selection pane="bottomLeft" activeCell="C28" sqref="C28"/>
    </sheetView>
  </sheetViews>
  <sheetFormatPr defaultRowHeight="14.25"/>
  <cols>
    <col min="1" max="1" width="38" customWidth="1"/>
    <col min="2" max="4" width="15" customWidth="1"/>
    <col min="5" max="5" width="17" customWidth="1"/>
    <col min="6" max="6" width="68" customWidth="1"/>
    <col min="7" max="7" width="3" customWidth="1"/>
    <col min="8" max="8" width="65" customWidth="1"/>
  </cols>
  <sheetData>
    <row r="1" spans="1:8" ht="23.1" customHeight="1">
      <c r="A1" s="1"/>
      <c r="B1" s="1"/>
      <c r="C1" s="1"/>
      <c r="D1" s="1"/>
      <c r="E1" s="1"/>
      <c r="F1" s="1"/>
      <c r="G1" s="1"/>
      <c r="H1" s="1"/>
    </row>
    <row r="2" spans="1:8" ht="23.1" customHeight="1">
      <c r="A2" s="2" t="s">
        <v>15</v>
      </c>
      <c r="B2" s="1"/>
      <c r="C2" s="1"/>
      <c r="D2" s="1"/>
      <c r="E2" s="1"/>
      <c r="F2" s="1"/>
      <c r="G2" s="1"/>
      <c r="H2" s="1"/>
    </row>
    <row r="3" spans="1:8" ht="23.1" customHeight="1">
      <c r="A3" s="1" t="s">
        <v>16</v>
      </c>
      <c r="B3" s="1"/>
      <c r="C3" s="1"/>
      <c r="D3" s="1"/>
      <c r="E3" s="1"/>
      <c r="F3" s="1"/>
      <c r="G3" s="1"/>
      <c r="H3" s="1"/>
    </row>
    <row r="4" spans="1:8" ht="23.1" customHeight="1">
      <c r="A4" s="1" t="s">
        <v>17</v>
      </c>
      <c r="B4" s="1"/>
      <c r="C4" s="1"/>
      <c r="D4" s="1"/>
      <c r="E4" s="1"/>
      <c r="F4" s="1"/>
      <c r="G4" s="1"/>
      <c r="H4" s="1"/>
    </row>
    <row r="5" spans="1:8" ht="23.1" customHeight="1">
      <c r="A5" s="1" t="s">
        <v>18</v>
      </c>
      <c r="B5" s="1"/>
      <c r="C5" s="1"/>
      <c r="D5" s="1"/>
      <c r="E5" s="1"/>
      <c r="F5" s="1"/>
      <c r="G5" s="1"/>
      <c r="H5" s="1"/>
    </row>
    <row r="6" spans="1:8" ht="23.1" customHeight="1">
      <c r="A6" s="1"/>
      <c r="B6" s="1"/>
      <c r="C6" s="1"/>
      <c r="D6" s="1"/>
      <c r="E6" s="1"/>
      <c r="F6" s="1"/>
      <c r="G6" s="1"/>
      <c r="H6" s="1"/>
    </row>
    <row r="7" spans="1:8" ht="33.950000000000003" customHeight="1">
      <c r="A7" s="3" t="s">
        <v>7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1"/>
      <c r="H7" s="3" t="s">
        <v>24</v>
      </c>
    </row>
    <row r="8" spans="1:8" ht="57" customHeight="1">
      <c r="A8" s="4" t="s">
        <v>25</v>
      </c>
      <c r="B8" s="5">
        <v>5.16</v>
      </c>
      <c r="C8" s="5">
        <v>0</v>
      </c>
      <c r="D8" s="7">
        <v>0.108749</v>
      </c>
      <c r="E8" s="6">
        <f t="shared" ref="E8:E39" si="0">IF(A8="","",IF(COUNT(B8:D8)&lt;3,"Pending",B8+C8*D8))</f>
        <v>5.16</v>
      </c>
      <c r="F8" s="8" t="s">
        <v>26</v>
      </c>
      <c r="G8" s="1"/>
      <c r="H8" s="8" t="s">
        <v>27</v>
      </c>
    </row>
    <row r="9" spans="1:8" ht="57" customHeight="1">
      <c r="A9" s="4" t="s">
        <v>28</v>
      </c>
      <c r="B9" s="5">
        <v>0</v>
      </c>
      <c r="C9" s="5">
        <v>0</v>
      </c>
      <c r="D9" s="7">
        <v>0.108749</v>
      </c>
      <c r="E9" s="6">
        <f t="shared" si="0"/>
        <v>0</v>
      </c>
      <c r="F9" s="8" t="s">
        <v>29</v>
      </c>
      <c r="G9" s="1"/>
      <c r="H9" s="8" t="s">
        <v>30</v>
      </c>
    </row>
    <row r="10" spans="1:8" ht="57" customHeight="1">
      <c r="A10" s="4" t="s">
        <v>31</v>
      </c>
      <c r="B10" s="5">
        <v>1.575</v>
      </c>
      <c r="C10" s="5">
        <v>0</v>
      </c>
      <c r="D10" s="7">
        <v>0</v>
      </c>
      <c r="E10" s="6">
        <f t="shared" si="0"/>
        <v>1.575</v>
      </c>
      <c r="F10" s="8" t="s">
        <v>32</v>
      </c>
      <c r="G10" s="1"/>
      <c r="H10" s="8" t="s">
        <v>33</v>
      </c>
    </row>
    <row r="11" spans="1:8" ht="57" customHeight="1">
      <c r="A11" s="4" t="s">
        <v>34</v>
      </c>
      <c r="B11" s="5">
        <v>0.75</v>
      </c>
      <c r="C11" s="5">
        <v>0</v>
      </c>
      <c r="D11" s="7">
        <v>0</v>
      </c>
      <c r="E11" s="6">
        <f t="shared" si="0"/>
        <v>0.75</v>
      </c>
      <c r="F11" s="8" t="s">
        <v>35</v>
      </c>
      <c r="G11" s="1"/>
      <c r="H11" s="8" t="s">
        <v>36</v>
      </c>
    </row>
    <row r="12" spans="1:8" ht="57" customHeight="1">
      <c r="A12" s="4" t="s">
        <v>37</v>
      </c>
      <c r="B12" s="5">
        <v>1.0944000000000001E-2</v>
      </c>
      <c r="C12" s="5">
        <v>0.25118864320000001</v>
      </c>
      <c r="D12" s="7">
        <v>1</v>
      </c>
      <c r="E12" s="6">
        <f t="shared" si="0"/>
        <v>0.26213264320000002</v>
      </c>
      <c r="F12" s="8" t="s">
        <v>38</v>
      </c>
      <c r="G12" s="1"/>
      <c r="H12" s="8" t="s">
        <v>39</v>
      </c>
    </row>
    <row r="13" spans="1:8" ht="57" customHeight="1">
      <c r="A13" s="4" t="s">
        <v>40</v>
      </c>
      <c r="B13" s="5">
        <v>1.125</v>
      </c>
      <c r="C13" s="5">
        <v>0</v>
      </c>
      <c r="D13" s="7">
        <v>0</v>
      </c>
      <c r="E13" s="6">
        <f t="shared" si="0"/>
        <v>1.125</v>
      </c>
      <c r="F13" s="8" t="s">
        <v>41</v>
      </c>
      <c r="G13" s="1"/>
      <c r="H13" s="8" t="s">
        <v>42</v>
      </c>
    </row>
    <row r="14" spans="1:8" ht="57" customHeight="1">
      <c r="A14" s="4" t="s">
        <v>43</v>
      </c>
      <c r="B14" s="5">
        <v>0</v>
      </c>
      <c r="C14" s="5">
        <v>1</v>
      </c>
      <c r="D14" s="7">
        <v>1</v>
      </c>
      <c r="E14" s="6">
        <f t="shared" si="0"/>
        <v>1</v>
      </c>
      <c r="F14" s="8" t="s">
        <v>44</v>
      </c>
      <c r="G14" s="1"/>
      <c r="H14" s="8" t="s">
        <v>45</v>
      </c>
    </row>
    <row r="15" spans="1:8" ht="57" customHeight="1">
      <c r="A15" s="4" t="s">
        <v>46</v>
      </c>
      <c r="B15" s="5">
        <v>0</v>
      </c>
      <c r="C15" s="5">
        <v>1</v>
      </c>
      <c r="D15" s="7">
        <v>0.18716948383590071</v>
      </c>
      <c r="E15" s="6">
        <f t="shared" si="0"/>
        <v>0.18716948383590071</v>
      </c>
      <c r="F15" s="8" t="s">
        <v>47</v>
      </c>
      <c r="G15" s="1"/>
      <c r="H15" s="8" t="s">
        <v>48</v>
      </c>
    </row>
    <row r="16" spans="1:8" ht="57" customHeight="1">
      <c r="A16" s="4" t="s">
        <v>49</v>
      </c>
      <c r="B16" s="5">
        <v>0</v>
      </c>
      <c r="C16" s="5">
        <v>1</v>
      </c>
      <c r="D16" s="7">
        <v>0.20567176527571851</v>
      </c>
      <c r="E16" s="6">
        <f t="shared" si="0"/>
        <v>0.20567176527571851</v>
      </c>
      <c r="F16" s="8" t="s">
        <v>50</v>
      </c>
      <c r="G16" s="1"/>
      <c r="H16" s="8" t="s">
        <v>51</v>
      </c>
    </row>
    <row r="17" spans="1:8" ht="57" customHeight="1">
      <c r="A17" s="4" t="s">
        <v>52</v>
      </c>
      <c r="B17" s="5">
        <v>0</v>
      </c>
      <c r="C17" s="5">
        <v>1</v>
      </c>
      <c r="D17" s="7">
        <v>0.27556403992500988</v>
      </c>
      <c r="E17" s="6">
        <f t="shared" si="0"/>
        <v>0.27556403992500988</v>
      </c>
      <c r="F17" s="8" t="s">
        <v>53</v>
      </c>
      <c r="G17" s="1"/>
      <c r="H17" s="8" t="s">
        <v>54</v>
      </c>
    </row>
    <row r="18" spans="1:8" ht="57" customHeight="1">
      <c r="A18" s="4" t="s">
        <v>55</v>
      </c>
      <c r="B18" s="5">
        <v>0</v>
      </c>
      <c r="C18" s="5">
        <v>1</v>
      </c>
      <c r="D18" s="7">
        <v>0.55225577228633216</v>
      </c>
      <c r="E18" s="6">
        <f t="shared" si="0"/>
        <v>0.55225577228633216</v>
      </c>
      <c r="F18" s="8" t="s">
        <v>56</v>
      </c>
      <c r="G18" s="1"/>
      <c r="H18" s="8" t="s">
        <v>57</v>
      </c>
    </row>
    <row r="19" spans="1:8" ht="57" customHeight="1">
      <c r="A19" s="4" t="s">
        <v>58</v>
      </c>
      <c r="B19" s="5">
        <v>0</v>
      </c>
      <c r="C19" s="5">
        <v>1</v>
      </c>
      <c r="D19" s="7">
        <v>0.10874906186625444</v>
      </c>
      <c r="E19" s="6">
        <f t="shared" si="0"/>
        <v>0.10874906186625444</v>
      </c>
      <c r="F19" s="8" t="s">
        <v>59</v>
      </c>
      <c r="G19" s="1"/>
      <c r="H19" s="8" t="s">
        <v>60</v>
      </c>
    </row>
    <row r="20" spans="1:8" ht="57" customHeight="1">
      <c r="A20" s="4" t="s">
        <v>61</v>
      </c>
      <c r="B20" s="5">
        <v>0</v>
      </c>
      <c r="C20" s="5">
        <v>1</v>
      </c>
      <c r="D20" s="7">
        <v>4.7203835976348141E-2</v>
      </c>
      <c r="E20" s="6">
        <f t="shared" si="0"/>
        <v>4.7203835976348141E-2</v>
      </c>
      <c r="F20" s="8" t="s">
        <v>62</v>
      </c>
      <c r="G20" s="1"/>
      <c r="H20" s="8" t="s">
        <v>63</v>
      </c>
    </row>
    <row r="21" spans="1:8" ht="57" customHeight="1">
      <c r="A21" s="4" t="s">
        <v>64</v>
      </c>
      <c r="B21" s="5">
        <v>0</v>
      </c>
      <c r="C21" s="5">
        <v>8</v>
      </c>
      <c r="D21" s="7">
        <v>8.7989160644090236E-2</v>
      </c>
      <c r="E21" s="6">
        <f t="shared" si="0"/>
        <v>0.70391328515272189</v>
      </c>
      <c r="F21" s="8" t="s">
        <v>65</v>
      </c>
      <c r="G21" s="1"/>
      <c r="H21" s="8" t="s">
        <v>66</v>
      </c>
    </row>
    <row r="22" spans="1:8" ht="57" customHeight="1">
      <c r="A22" s="4" t="s">
        <v>67</v>
      </c>
      <c r="B22" s="5">
        <v>0</v>
      </c>
      <c r="C22" s="5">
        <v>8</v>
      </c>
      <c r="D22" s="7">
        <v>0.20567176527571851</v>
      </c>
      <c r="E22" s="6">
        <f t="shared" si="0"/>
        <v>1.6453741222057481</v>
      </c>
      <c r="F22" s="8" t="s">
        <v>68</v>
      </c>
      <c r="G22" s="1"/>
      <c r="H22" s="8" t="s">
        <v>66</v>
      </c>
    </row>
    <row r="23" spans="1:8" ht="57" customHeight="1">
      <c r="A23" s="4" t="s">
        <v>69</v>
      </c>
      <c r="B23" s="5">
        <v>0</v>
      </c>
      <c r="C23" s="5">
        <v>10</v>
      </c>
      <c r="D23" s="7">
        <v>8.7989160644090236E-2</v>
      </c>
      <c r="E23" s="6">
        <f t="shared" si="0"/>
        <v>0.87989160644090236</v>
      </c>
      <c r="F23" s="8" t="s">
        <v>70</v>
      </c>
      <c r="G23" s="1"/>
      <c r="H23" s="8" t="s">
        <v>71</v>
      </c>
    </row>
    <row r="24" spans="1:8" ht="57" customHeight="1">
      <c r="A24" s="4" t="s">
        <v>72</v>
      </c>
      <c r="B24" s="5">
        <v>0</v>
      </c>
      <c r="C24" s="5">
        <v>10</v>
      </c>
      <c r="D24" s="7">
        <v>0.1290364100439193</v>
      </c>
      <c r="E24" s="6">
        <f t="shared" si="0"/>
        <v>1.290364100439193</v>
      </c>
      <c r="F24" s="8" t="s">
        <v>73</v>
      </c>
      <c r="G24" s="1"/>
      <c r="H24" s="8" t="s">
        <v>74</v>
      </c>
    </row>
    <row r="25" spans="1:8" ht="57" customHeight="1">
      <c r="A25" s="4" t="s">
        <v>75</v>
      </c>
      <c r="B25" s="5">
        <v>0</v>
      </c>
      <c r="C25" s="5">
        <v>10</v>
      </c>
      <c r="D25" s="7">
        <v>0.25868975869908251</v>
      </c>
      <c r="E25" s="6">
        <f t="shared" si="0"/>
        <v>2.5868975869908253</v>
      </c>
      <c r="F25" s="8" t="s">
        <v>76</v>
      </c>
      <c r="G25" s="1"/>
      <c r="H25" s="8" t="s">
        <v>77</v>
      </c>
    </row>
    <row r="26" spans="1:8" ht="57" customHeight="1">
      <c r="A26" s="4" t="s">
        <v>78</v>
      </c>
      <c r="B26" s="5">
        <v>0</v>
      </c>
      <c r="C26" s="5">
        <v>20</v>
      </c>
      <c r="D26" s="7">
        <v>7.7428572845236854E-2</v>
      </c>
      <c r="E26" s="6">
        <f t="shared" si="0"/>
        <v>1.5485714569047371</v>
      </c>
      <c r="F26" s="8" t="s">
        <v>79</v>
      </c>
      <c r="G26" s="1"/>
      <c r="H26" s="8" t="s">
        <v>80</v>
      </c>
    </row>
    <row r="27" spans="1:8" ht="57" customHeight="1">
      <c r="A27" s="4" t="s">
        <v>81</v>
      </c>
      <c r="B27" s="5"/>
      <c r="C27" s="5"/>
      <c r="D27" s="7"/>
      <c r="E27" s="6" t="str">
        <f t="shared" si="0"/>
        <v>Pending</v>
      </c>
      <c r="F27" s="8" t="s">
        <v>82</v>
      </c>
      <c r="G27" s="1"/>
      <c r="H27" s="8" t="s">
        <v>83</v>
      </c>
    </row>
    <row r="28" spans="1:8" ht="57" customHeight="1">
      <c r="A28" s="4" t="s">
        <v>84</v>
      </c>
      <c r="B28" s="5"/>
      <c r="C28" s="5"/>
      <c r="D28" s="7"/>
      <c r="E28" s="6" t="str">
        <f t="shared" si="0"/>
        <v>Pending</v>
      </c>
      <c r="F28" s="8" t="s">
        <v>85</v>
      </c>
      <c r="G28" s="1"/>
      <c r="H28" s="8" t="s">
        <v>86</v>
      </c>
    </row>
    <row r="29" spans="1:8" ht="57" customHeight="1">
      <c r="A29" s="4" t="s">
        <v>87</v>
      </c>
      <c r="B29" s="5"/>
      <c r="C29" s="5"/>
      <c r="D29" s="7"/>
      <c r="E29" s="6" t="str">
        <f t="shared" si="0"/>
        <v>Pending</v>
      </c>
      <c r="F29" s="8" t="s">
        <v>88</v>
      </c>
      <c r="G29" s="1"/>
      <c r="H29" s="8" t="s">
        <v>89</v>
      </c>
    </row>
    <row r="30" spans="1:8" ht="57" customHeight="1">
      <c r="A30" s="4" t="s">
        <v>93</v>
      </c>
      <c r="B30" s="5">
        <v>0</v>
      </c>
      <c r="C30" s="5">
        <v>2</v>
      </c>
      <c r="D30" s="7">
        <v>0.16824</v>
      </c>
      <c r="E30" s="6">
        <f t="shared" si="0"/>
        <v>0.33648</v>
      </c>
      <c r="F30" s="8" t="s">
        <v>90</v>
      </c>
      <c r="G30" s="1"/>
      <c r="H30" s="8" t="s">
        <v>91</v>
      </c>
    </row>
    <row r="31" spans="1:8" ht="23.1" customHeight="1">
      <c r="A31" s="4" t="s">
        <v>94</v>
      </c>
      <c r="B31" s="5">
        <v>0</v>
      </c>
      <c r="C31" s="5">
        <v>1</v>
      </c>
      <c r="D31" s="7">
        <v>0.95991000000000004</v>
      </c>
      <c r="E31" s="6">
        <f t="shared" si="0"/>
        <v>0.95991000000000004</v>
      </c>
      <c r="F31" s="4"/>
      <c r="G31" s="1"/>
      <c r="H31" s="4"/>
    </row>
    <row r="32" spans="1:8" ht="23.1" customHeight="1">
      <c r="A32" s="4"/>
      <c r="B32" s="5"/>
      <c r="C32" s="5"/>
      <c r="D32" s="7"/>
      <c r="E32" s="6" t="str">
        <f t="shared" si="0"/>
        <v/>
      </c>
      <c r="F32" s="4"/>
      <c r="G32" s="1"/>
      <c r="H32" s="4"/>
    </row>
    <row r="33" spans="1:8" ht="23.1" customHeight="1">
      <c r="A33" s="4"/>
      <c r="B33" s="5"/>
      <c r="C33" s="5"/>
      <c r="D33" s="7"/>
      <c r="E33" s="6" t="str">
        <f t="shared" si="0"/>
        <v/>
      </c>
      <c r="F33" s="4"/>
      <c r="G33" s="1"/>
      <c r="H33" s="4"/>
    </row>
    <row r="34" spans="1:8" ht="23.1" customHeight="1">
      <c r="A34" s="4"/>
      <c r="B34" s="5"/>
      <c r="C34" s="5"/>
      <c r="D34" s="7"/>
      <c r="E34" s="6" t="str">
        <f t="shared" si="0"/>
        <v/>
      </c>
      <c r="F34" s="4"/>
      <c r="G34" s="1"/>
      <c r="H34" s="4"/>
    </row>
    <row r="35" spans="1:8" ht="23.1" customHeight="1">
      <c r="A35" s="4"/>
      <c r="B35" s="5"/>
      <c r="C35" s="5"/>
      <c r="D35" s="7"/>
      <c r="E35" s="6" t="str">
        <f t="shared" si="0"/>
        <v/>
      </c>
      <c r="F35" s="4"/>
      <c r="G35" s="1"/>
      <c r="H35" s="4"/>
    </row>
    <row r="36" spans="1:8" ht="23.1" customHeight="1">
      <c r="A36" s="4"/>
      <c r="B36" s="5"/>
      <c r="C36" s="5"/>
      <c r="D36" s="7"/>
      <c r="E36" s="6" t="str">
        <f t="shared" si="0"/>
        <v/>
      </c>
      <c r="F36" s="4"/>
      <c r="G36" s="1"/>
      <c r="H36" s="4"/>
    </row>
    <row r="37" spans="1:8" ht="23.1" customHeight="1">
      <c r="A37" s="4"/>
      <c r="B37" s="5"/>
      <c r="C37" s="5"/>
      <c r="D37" s="7"/>
      <c r="E37" s="6" t="str">
        <f t="shared" si="0"/>
        <v/>
      </c>
      <c r="F37" s="4"/>
      <c r="G37" s="1"/>
      <c r="H37" s="4"/>
    </row>
    <row r="38" spans="1:8" ht="23.1" customHeight="1">
      <c r="A38" s="4"/>
      <c r="B38" s="5"/>
      <c r="C38" s="5"/>
      <c r="D38" s="7"/>
      <c r="E38" s="6" t="str">
        <f t="shared" si="0"/>
        <v/>
      </c>
      <c r="F38" s="4"/>
      <c r="G38" s="1"/>
      <c r="H38" s="4"/>
    </row>
    <row r="39" spans="1:8" ht="23.1" customHeight="1">
      <c r="A39" s="4"/>
      <c r="B39" s="5"/>
      <c r="C39" s="5"/>
      <c r="D39" s="7"/>
      <c r="E39" s="6" t="str">
        <f t="shared" si="0"/>
        <v/>
      </c>
      <c r="F39" s="4"/>
      <c r="G39" s="1"/>
      <c r="H39" s="4"/>
    </row>
    <row r="40" spans="1:8" ht="23.1" customHeight="1">
      <c r="A40" s="4"/>
      <c r="B40" s="5"/>
      <c r="C40" s="5"/>
      <c r="D40" s="7"/>
      <c r="E40" s="6" t="str">
        <f t="shared" ref="E40:E71" si="1">IF(A40="","",IF(COUNT(B40:D40)&lt;3,"Pending",B40+C40*D40))</f>
        <v/>
      </c>
      <c r="F40" s="4"/>
      <c r="G40" s="1"/>
      <c r="H40" s="4"/>
    </row>
    <row r="41" spans="1:8" ht="23.1" customHeight="1">
      <c r="A41" s="4"/>
      <c r="B41" s="5"/>
      <c r="C41" s="5"/>
      <c r="D41" s="7"/>
      <c r="E41" s="6" t="str">
        <f t="shared" si="1"/>
        <v/>
      </c>
      <c r="F41" s="4"/>
      <c r="G41" s="1"/>
      <c r="H41" s="4"/>
    </row>
    <row r="42" spans="1:8" ht="23.1" customHeight="1">
      <c r="A42" s="4"/>
      <c r="B42" s="5"/>
      <c r="C42" s="5"/>
      <c r="D42" s="7"/>
      <c r="E42" s="6" t="str">
        <f t="shared" si="1"/>
        <v/>
      </c>
      <c r="F42" s="4"/>
      <c r="G42" s="1"/>
      <c r="H42" s="4"/>
    </row>
    <row r="43" spans="1:8" ht="23.1" customHeight="1">
      <c r="A43" s="4"/>
      <c r="B43" s="5"/>
      <c r="C43" s="5"/>
      <c r="D43" s="7"/>
      <c r="E43" s="6" t="str">
        <f t="shared" si="1"/>
        <v/>
      </c>
      <c r="F43" s="4"/>
      <c r="G43" s="1"/>
      <c r="H43" s="4"/>
    </row>
    <row r="44" spans="1:8" ht="23.1" customHeight="1">
      <c r="A44" s="4"/>
      <c r="B44" s="5"/>
      <c r="C44" s="5"/>
      <c r="D44" s="7"/>
      <c r="E44" s="6" t="str">
        <f t="shared" si="1"/>
        <v/>
      </c>
      <c r="F44" s="4"/>
      <c r="G44" s="1"/>
      <c r="H44" s="4"/>
    </row>
    <row r="45" spans="1:8" ht="23.1" customHeight="1">
      <c r="A45" s="4"/>
      <c r="B45" s="5"/>
      <c r="C45" s="5"/>
      <c r="D45" s="7"/>
      <c r="E45" s="6" t="str">
        <f t="shared" si="1"/>
        <v/>
      </c>
      <c r="F45" s="4"/>
      <c r="G45" s="1"/>
      <c r="H45" s="4"/>
    </row>
    <row r="46" spans="1:8" ht="23.1" customHeight="1">
      <c r="A46" s="4"/>
      <c r="B46" s="5"/>
      <c r="C46" s="5"/>
      <c r="D46" s="7"/>
      <c r="E46" s="6" t="str">
        <f t="shared" si="1"/>
        <v/>
      </c>
      <c r="F46" s="4"/>
      <c r="G46" s="1"/>
      <c r="H46" s="4"/>
    </row>
    <row r="47" spans="1:8" ht="23.1" customHeight="1">
      <c r="A47" s="4"/>
      <c r="B47" s="5"/>
      <c r="C47" s="5"/>
      <c r="D47" s="7"/>
      <c r="E47" s="6" t="str">
        <f t="shared" si="1"/>
        <v/>
      </c>
      <c r="F47" s="4"/>
      <c r="G47" s="1"/>
      <c r="H47" s="4"/>
    </row>
    <row r="48" spans="1:8" ht="23.1" customHeight="1">
      <c r="A48" s="4"/>
      <c r="B48" s="5"/>
      <c r="C48" s="5"/>
      <c r="D48" s="7"/>
      <c r="E48" s="6" t="str">
        <f t="shared" si="1"/>
        <v/>
      </c>
      <c r="F48" s="4"/>
      <c r="G48" s="1"/>
      <c r="H48" s="4"/>
    </row>
    <row r="49" spans="1:8" ht="23.1" customHeight="1">
      <c r="A49" s="4"/>
      <c r="B49" s="5"/>
      <c r="C49" s="5"/>
      <c r="D49" s="7"/>
      <c r="E49" s="6" t="str">
        <f t="shared" si="1"/>
        <v/>
      </c>
      <c r="F49" s="4"/>
      <c r="G49" s="1"/>
      <c r="H49" s="4"/>
    </row>
    <row r="50" spans="1:8" ht="23.1" customHeight="1">
      <c r="A50" s="4"/>
      <c r="B50" s="5"/>
      <c r="C50" s="5"/>
      <c r="D50" s="7"/>
      <c r="E50" s="6" t="str">
        <f t="shared" si="1"/>
        <v/>
      </c>
      <c r="F50" s="4"/>
      <c r="G50" s="1"/>
      <c r="H50" s="4"/>
    </row>
    <row r="51" spans="1:8" ht="23.1" customHeight="1">
      <c r="A51" s="4"/>
      <c r="B51" s="5"/>
      <c r="C51" s="5"/>
      <c r="D51" s="7"/>
      <c r="E51" s="6" t="str">
        <f t="shared" si="1"/>
        <v/>
      </c>
      <c r="F51" s="4"/>
      <c r="G51" s="1"/>
      <c r="H51" s="4"/>
    </row>
    <row r="52" spans="1:8" ht="23.1" customHeight="1">
      <c r="A52" s="4"/>
      <c r="B52" s="5"/>
      <c r="C52" s="5"/>
      <c r="D52" s="7"/>
      <c r="E52" s="6" t="str">
        <f t="shared" si="1"/>
        <v/>
      </c>
      <c r="F52" s="4"/>
      <c r="G52" s="1"/>
      <c r="H52" s="4"/>
    </row>
    <row r="53" spans="1:8" ht="23.1" customHeight="1">
      <c r="A53" s="4"/>
      <c r="B53" s="5"/>
      <c r="C53" s="5"/>
      <c r="D53" s="7"/>
      <c r="E53" s="6" t="str">
        <f t="shared" si="1"/>
        <v/>
      </c>
      <c r="F53" s="4"/>
      <c r="G53" s="1"/>
      <c r="H53" s="4"/>
    </row>
    <row r="54" spans="1:8" ht="23.1" customHeight="1">
      <c r="A54" s="4"/>
      <c r="B54" s="5"/>
      <c r="C54" s="5"/>
      <c r="D54" s="7"/>
      <c r="E54" s="6" t="str">
        <f t="shared" si="1"/>
        <v/>
      </c>
      <c r="F54" s="4"/>
      <c r="G54" s="1"/>
      <c r="H54" s="4"/>
    </row>
    <row r="55" spans="1:8" ht="23.1" customHeight="1">
      <c r="A55" s="4"/>
      <c r="B55" s="5"/>
      <c r="C55" s="5"/>
      <c r="D55" s="7"/>
      <c r="E55" s="6" t="str">
        <f t="shared" si="1"/>
        <v/>
      </c>
      <c r="F55" s="4"/>
      <c r="G55" s="1"/>
      <c r="H55" s="4"/>
    </row>
    <row r="56" spans="1:8" ht="23.1" customHeight="1">
      <c r="A56" s="4"/>
      <c r="B56" s="5"/>
      <c r="C56" s="5"/>
      <c r="D56" s="7"/>
      <c r="E56" s="6" t="str">
        <f t="shared" si="1"/>
        <v/>
      </c>
      <c r="F56" s="4"/>
      <c r="G56" s="1"/>
      <c r="H56" s="4"/>
    </row>
    <row r="57" spans="1:8" ht="23.1" customHeight="1">
      <c r="A57" s="4"/>
      <c r="B57" s="5"/>
      <c r="C57" s="5"/>
      <c r="D57" s="7"/>
      <c r="E57" s="6" t="str">
        <f t="shared" si="1"/>
        <v/>
      </c>
      <c r="F57" s="4"/>
      <c r="G57" s="1"/>
      <c r="H57" s="4"/>
    </row>
    <row r="58" spans="1:8" ht="23.1" customHeight="1">
      <c r="A58" s="4"/>
      <c r="B58" s="5"/>
      <c r="C58" s="5"/>
      <c r="D58" s="7"/>
      <c r="E58" s="6" t="str">
        <f t="shared" si="1"/>
        <v/>
      </c>
      <c r="F58" s="4"/>
      <c r="G58" s="1"/>
      <c r="H58" s="4"/>
    </row>
    <row r="59" spans="1:8" ht="23.1" customHeight="1">
      <c r="A59" s="4"/>
      <c r="B59" s="5"/>
      <c r="C59" s="5"/>
      <c r="D59" s="7"/>
      <c r="E59" s="6" t="str">
        <f t="shared" si="1"/>
        <v/>
      </c>
      <c r="F59" s="4"/>
      <c r="G59" s="1"/>
      <c r="H59" s="4"/>
    </row>
    <row r="60" spans="1:8" ht="23.1" customHeight="1">
      <c r="A60" s="4"/>
      <c r="B60" s="5"/>
      <c r="C60" s="5"/>
      <c r="D60" s="7"/>
      <c r="E60" s="6" t="str">
        <f t="shared" si="1"/>
        <v/>
      </c>
      <c r="F60" s="4"/>
      <c r="G60" s="1"/>
      <c r="H60" s="4"/>
    </row>
    <row r="61" spans="1:8" ht="23.1" customHeight="1">
      <c r="A61" s="4"/>
      <c r="B61" s="5"/>
      <c r="C61" s="5"/>
      <c r="D61" s="7"/>
      <c r="E61" s="6" t="str">
        <f t="shared" si="1"/>
        <v/>
      </c>
      <c r="F61" s="4"/>
      <c r="G61" s="1"/>
      <c r="H61" s="4"/>
    </row>
    <row r="62" spans="1:8" ht="23.1" customHeight="1">
      <c r="A62" s="4"/>
      <c r="B62" s="5"/>
      <c r="C62" s="5"/>
      <c r="D62" s="7"/>
      <c r="E62" s="6" t="str">
        <f t="shared" si="1"/>
        <v/>
      </c>
      <c r="F62" s="4"/>
      <c r="G62" s="1"/>
      <c r="H62" s="4"/>
    </row>
    <row r="63" spans="1:8" ht="23.1" customHeight="1">
      <c r="A63" s="4"/>
      <c r="B63" s="5"/>
      <c r="C63" s="5"/>
      <c r="D63" s="7"/>
      <c r="E63" s="6" t="str">
        <f t="shared" si="1"/>
        <v/>
      </c>
      <c r="F63" s="4"/>
      <c r="G63" s="1"/>
      <c r="H63" s="4"/>
    </row>
    <row r="64" spans="1:8" ht="23.1" customHeight="1">
      <c r="A64" s="4"/>
      <c r="B64" s="5"/>
      <c r="C64" s="5"/>
      <c r="D64" s="7"/>
      <c r="E64" s="6" t="str">
        <f t="shared" si="1"/>
        <v/>
      </c>
      <c r="F64" s="4"/>
      <c r="G64" s="1"/>
      <c r="H64" s="4"/>
    </row>
    <row r="65" spans="1:8" ht="23.1" customHeight="1">
      <c r="A65" s="4"/>
      <c r="B65" s="5"/>
      <c r="C65" s="5"/>
      <c r="D65" s="7"/>
      <c r="E65" s="6" t="str">
        <f t="shared" si="1"/>
        <v/>
      </c>
      <c r="F65" s="4"/>
      <c r="G65" s="1"/>
      <c r="H65" s="4"/>
    </row>
    <row r="66" spans="1:8" ht="23.1" customHeight="1">
      <c r="A66" s="4"/>
      <c r="B66" s="5"/>
      <c r="C66" s="5"/>
      <c r="D66" s="7"/>
      <c r="E66" s="6" t="str">
        <f t="shared" si="1"/>
        <v/>
      </c>
      <c r="F66" s="4"/>
      <c r="G66" s="1"/>
      <c r="H66" s="4"/>
    </row>
    <row r="67" spans="1:8" ht="23.1" customHeight="1">
      <c r="A67" s="4"/>
      <c r="B67" s="5"/>
      <c r="C67" s="5"/>
      <c r="D67" s="7"/>
      <c r="E67" s="6" t="str">
        <f t="shared" si="1"/>
        <v/>
      </c>
      <c r="F67" s="4"/>
      <c r="G67" s="1"/>
      <c r="H67" s="4"/>
    </row>
    <row r="68" spans="1:8" ht="23.1" customHeight="1">
      <c r="A68" s="4"/>
      <c r="B68" s="5"/>
      <c r="C68" s="5"/>
      <c r="D68" s="7"/>
      <c r="E68" s="6" t="str">
        <f t="shared" si="1"/>
        <v/>
      </c>
      <c r="F68" s="4"/>
      <c r="G68" s="1"/>
      <c r="H68" s="4"/>
    </row>
    <row r="69" spans="1:8" ht="23.1" customHeight="1">
      <c r="A69" s="4"/>
      <c r="B69" s="5"/>
      <c r="C69" s="5"/>
      <c r="D69" s="7"/>
      <c r="E69" s="6" t="str">
        <f t="shared" si="1"/>
        <v/>
      </c>
      <c r="F69" s="4"/>
      <c r="G69" s="1"/>
      <c r="H69" s="4"/>
    </row>
    <row r="70" spans="1:8" ht="23.1" customHeight="1">
      <c r="A70" s="4"/>
      <c r="B70" s="5"/>
      <c r="C70" s="5"/>
      <c r="D70" s="7"/>
      <c r="E70" s="6" t="str">
        <f t="shared" si="1"/>
        <v/>
      </c>
      <c r="F70" s="4"/>
      <c r="G70" s="1"/>
      <c r="H70" s="4"/>
    </row>
    <row r="71" spans="1:8" ht="23.1" customHeight="1">
      <c r="A71" s="4"/>
      <c r="B71" s="5"/>
      <c r="C71" s="5"/>
      <c r="D71" s="7"/>
      <c r="E71" s="6" t="str">
        <f t="shared" si="1"/>
        <v/>
      </c>
      <c r="F71" s="4"/>
      <c r="G71" s="1"/>
      <c r="H71" s="4"/>
    </row>
    <row r="72" spans="1:8" ht="23.1" customHeight="1">
      <c r="A72" s="4"/>
      <c r="B72" s="5"/>
      <c r="C72" s="5"/>
      <c r="D72" s="7"/>
      <c r="E72" s="6" t="str">
        <f t="shared" ref="E72:E103" si="2">IF(A72="","",IF(COUNT(B72:D72)&lt;3,"Pending",B72+C72*D72))</f>
        <v/>
      </c>
      <c r="F72" s="4"/>
      <c r="G72" s="1"/>
      <c r="H72" s="4"/>
    </row>
    <row r="73" spans="1:8" ht="23.1" customHeight="1">
      <c r="A73" s="4"/>
      <c r="B73" s="5"/>
      <c r="C73" s="5"/>
      <c r="D73" s="7"/>
      <c r="E73" s="6" t="str">
        <f t="shared" si="2"/>
        <v/>
      </c>
      <c r="F73" s="4"/>
      <c r="G73" s="1"/>
      <c r="H73" s="4"/>
    </row>
    <row r="74" spans="1:8" ht="23.1" customHeight="1">
      <c r="A74" s="4"/>
      <c r="B74" s="5"/>
      <c r="C74" s="5"/>
      <c r="D74" s="7"/>
      <c r="E74" s="6" t="str">
        <f t="shared" si="2"/>
        <v/>
      </c>
      <c r="F74" s="4"/>
      <c r="G74" s="1"/>
      <c r="H74" s="4"/>
    </row>
    <row r="75" spans="1:8" ht="23.1" customHeight="1">
      <c r="A75" s="4"/>
      <c r="B75" s="5"/>
      <c r="C75" s="5"/>
      <c r="D75" s="7"/>
      <c r="E75" s="6" t="str">
        <f t="shared" si="2"/>
        <v/>
      </c>
      <c r="F75" s="4"/>
      <c r="G75" s="1"/>
      <c r="H75" s="4"/>
    </row>
    <row r="76" spans="1:8" ht="23.1" customHeight="1">
      <c r="A76" s="4"/>
      <c r="B76" s="5"/>
      <c r="C76" s="5"/>
      <c r="D76" s="7"/>
      <c r="E76" s="6" t="str">
        <f t="shared" si="2"/>
        <v/>
      </c>
      <c r="F76" s="4"/>
      <c r="G76" s="1"/>
      <c r="H76" s="4"/>
    </row>
    <row r="77" spans="1:8" ht="23.1" customHeight="1">
      <c r="A77" s="4"/>
      <c r="B77" s="5"/>
      <c r="C77" s="5"/>
      <c r="D77" s="7"/>
      <c r="E77" s="6" t="str">
        <f t="shared" si="2"/>
        <v/>
      </c>
      <c r="F77" s="4"/>
      <c r="G77" s="1"/>
      <c r="H77" s="4"/>
    </row>
    <row r="78" spans="1:8" ht="23.1" customHeight="1">
      <c r="A78" s="4"/>
      <c r="B78" s="5"/>
      <c r="C78" s="5"/>
      <c r="D78" s="7"/>
      <c r="E78" s="6" t="str">
        <f t="shared" si="2"/>
        <v/>
      </c>
      <c r="F78" s="4"/>
      <c r="G78" s="1"/>
      <c r="H78" s="4"/>
    </row>
    <row r="79" spans="1:8" ht="23.1" customHeight="1">
      <c r="A79" s="4"/>
      <c r="B79" s="5"/>
      <c r="C79" s="5"/>
      <c r="D79" s="7"/>
      <c r="E79" s="6" t="str">
        <f t="shared" si="2"/>
        <v/>
      </c>
      <c r="F79" s="4"/>
      <c r="G79" s="1"/>
      <c r="H79" s="4"/>
    </row>
    <row r="80" spans="1:8" ht="23.1" customHeight="1">
      <c r="A80" s="4"/>
      <c r="B80" s="5"/>
      <c r="C80" s="5"/>
      <c r="D80" s="7"/>
      <c r="E80" s="6" t="str">
        <f t="shared" si="2"/>
        <v/>
      </c>
      <c r="F80" s="4"/>
      <c r="G80" s="1"/>
      <c r="H80" s="4"/>
    </row>
    <row r="81" spans="1:8" ht="23.1" customHeight="1">
      <c r="A81" s="4"/>
      <c r="B81" s="5"/>
      <c r="C81" s="5"/>
      <c r="D81" s="7"/>
      <c r="E81" s="6" t="str">
        <f t="shared" si="2"/>
        <v/>
      </c>
      <c r="F81" s="4"/>
      <c r="G81" s="1"/>
      <c r="H81" s="4"/>
    </row>
    <row r="82" spans="1:8" ht="23.1" customHeight="1">
      <c r="A82" s="4"/>
      <c r="B82" s="5"/>
      <c r="C82" s="5"/>
      <c r="D82" s="7"/>
      <c r="E82" s="6" t="str">
        <f t="shared" si="2"/>
        <v/>
      </c>
      <c r="F82" s="4"/>
      <c r="G82" s="1"/>
      <c r="H82" s="4"/>
    </row>
    <row r="83" spans="1:8" ht="23.1" customHeight="1">
      <c r="A83" s="4"/>
      <c r="B83" s="5"/>
      <c r="C83" s="5"/>
      <c r="D83" s="7"/>
      <c r="E83" s="6" t="str">
        <f t="shared" si="2"/>
        <v/>
      </c>
      <c r="F83" s="4"/>
      <c r="G83" s="1"/>
      <c r="H83" s="4"/>
    </row>
    <row r="84" spans="1:8" ht="23.1" customHeight="1">
      <c r="A84" s="4"/>
      <c r="B84" s="5"/>
      <c r="C84" s="5"/>
      <c r="D84" s="7"/>
      <c r="E84" s="6" t="str">
        <f t="shared" si="2"/>
        <v/>
      </c>
      <c r="F84" s="4"/>
      <c r="G84" s="1"/>
      <c r="H84" s="4"/>
    </row>
    <row r="85" spans="1:8" ht="23.1" customHeight="1">
      <c r="A85" s="4"/>
      <c r="B85" s="5"/>
      <c r="C85" s="5"/>
      <c r="D85" s="7"/>
      <c r="E85" s="6" t="str">
        <f t="shared" si="2"/>
        <v/>
      </c>
      <c r="F85" s="4"/>
      <c r="G85" s="1"/>
      <c r="H85" s="4"/>
    </row>
    <row r="86" spans="1:8" ht="23.1" customHeight="1">
      <c r="A86" s="4"/>
      <c r="B86" s="5"/>
      <c r="C86" s="5"/>
      <c r="D86" s="7"/>
      <c r="E86" s="6" t="str">
        <f t="shared" si="2"/>
        <v/>
      </c>
      <c r="F86" s="4"/>
      <c r="G86" s="1"/>
      <c r="H86" s="4"/>
    </row>
    <row r="87" spans="1:8" ht="23.1" customHeight="1">
      <c r="A87" s="4"/>
      <c r="B87" s="5"/>
      <c r="C87" s="5"/>
      <c r="D87" s="7"/>
      <c r="E87" s="6" t="str">
        <f t="shared" si="2"/>
        <v/>
      </c>
      <c r="F87" s="4"/>
      <c r="G87" s="1"/>
      <c r="H87" s="4"/>
    </row>
    <row r="88" spans="1:8" ht="23.1" customHeight="1">
      <c r="A88" s="4"/>
      <c r="B88" s="5"/>
      <c r="C88" s="5"/>
      <c r="D88" s="7"/>
      <c r="E88" s="6" t="str">
        <f t="shared" si="2"/>
        <v/>
      </c>
      <c r="F88" s="4"/>
      <c r="G88" s="1"/>
      <c r="H88" s="4"/>
    </row>
    <row r="89" spans="1:8" ht="23.1" customHeight="1">
      <c r="A89" s="4"/>
      <c r="B89" s="5"/>
      <c r="C89" s="5"/>
      <c r="D89" s="7"/>
      <c r="E89" s="6" t="str">
        <f t="shared" si="2"/>
        <v/>
      </c>
      <c r="F89" s="4"/>
      <c r="G89" s="1"/>
      <c r="H89" s="4"/>
    </row>
    <row r="90" spans="1:8" ht="23.1" customHeight="1">
      <c r="A90" s="4"/>
      <c r="B90" s="5"/>
      <c r="C90" s="5"/>
      <c r="D90" s="7"/>
      <c r="E90" s="6" t="str">
        <f t="shared" si="2"/>
        <v/>
      </c>
      <c r="F90" s="4"/>
      <c r="G90" s="1"/>
      <c r="H90" s="4"/>
    </row>
    <row r="91" spans="1:8" ht="23.1" customHeight="1">
      <c r="A91" s="4"/>
      <c r="B91" s="5"/>
      <c r="C91" s="5"/>
      <c r="D91" s="7"/>
      <c r="E91" s="6" t="str">
        <f t="shared" si="2"/>
        <v/>
      </c>
      <c r="F91" s="4"/>
      <c r="G91" s="1"/>
      <c r="H91" s="4"/>
    </row>
    <row r="92" spans="1:8" ht="23.1" customHeight="1">
      <c r="A92" s="4"/>
      <c r="B92" s="5"/>
      <c r="C92" s="5"/>
      <c r="D92" s="7"/>
      <c r="E92" s="6" t="str">
        <f t="shared" si="2"/>
        <v/>
      </c>
      <c r="F92" s="4"/>
      <c r="G92" s="1"/>
      <c r="H92" s="4"/>
    </row>
    <row r="93" spans="1:8" ht="23.1" customHeight="1">
      <c r="A93" s="4"/>
      <c r="B93" s="5"/>
      <c r="C93" s="5"/>
      <c r="D93" s="7"/>
      <c r="E93" s="6" t="str">
        <f t="shared" si="2"/>
        <v/>
      </c>
      <c r="F93" s="4"/>
      <c r="G93" s="1"/>
      <c r="H93" s="4"/>
    </row>
    <row r="94" spans="1:8" ht="23.1" customHeight="1">
      <c r="A94" s="4"/>
      <c r="B94" s="5"/>
      <c r="C94" s="5"/>
      <c r="D94" s="7"/>
      <c r="E94" s="6" t="str">
        <f t="shared" si="2"/>
        <v/>
      </c>
      <c r="F94" s="4"/>
      <c r="G94" s="1"/>
      <c r="H94" s="4"/>
    </row>
    <row r="95" spans="1:8" ht="23.1" customHeight="1">
      <c r="A95" s="4"/>
      <c r="B95" s="5"/>
      <c r="C95" s="5"/>
      <c r="D95" s="7"/>
      <c r="E95" s="6" t="str">
        <f t="shared" si="2"/>
        <v/>
      </c>
      <c r="F95" s="4"/>
      <c r="G95" s="1"/>
      <c r="H95" s="4"/>
    </row>
    <row r="96" spans="1:8" ht="23.1" customHeight="1">
      <c r="A96" s="4"/>
      <c r="B96" s="5"/>
      <c r="C96" s="5"/>
      <c r="D96" s="7"/>
      <c r="E96" s="6" t="str">
        <f t="shared" si="2"/>
        <v/>
      </c>
      <c r="F96" s="4"/>
      <c r="G96" s="1"/>
      <c r="H96" s="4"/>
    </row>
    <row r="97" spans="1:8" ht="23.1" customHeight="1">
      <c r="A97" s="4"/>
      <c r="B97" s="5"/>
      <c r="C97" s="5"/>
      <c r="D97" s="7"/>
      <c r="E97" s="6" t="str">
        <f t="shared" si="2"/>
        <v/>
      </c>
      <c r="F97" s="4"/>
      <c r="G97" s="1"/>
      <c r="H97" s="4"/>
    </row>
    <row r="98" spans="1:8" ht="23.1" customHeight="1">
      <c r="A98" s="4"/>
      <c r="B98" s="5"/>
      <c r="C98" s="5"/>
      <c r="D98" s="7"/>
      <c r="E98" s="6" t="str">
        <f t="shared" si="2"/>
        <v/>
      </c>
      <c r="F98" s="4"/>
      <c r="G98" s="1"/>
      <c r="H98" s="4"/>
    </row>
    <row r="99" spans="1:8" ht="23.1" customHeight="1">
      <c r="A99" s="4"/>
      <c r="B99" s="5"/>
      <c r="C99" s="5"/>
      <c r="D99" s="7"/>
      <c r="E99" s="6" t="str">
        <f t="shared" si="2"/>
        <v/>
      </c>
      <c r="F99" s="4"/>
      <c r="G99" s="1"/>
      <c r="H99" s="4"/>
    </row>
    <row r="100" spans="1:8" ht="23.1" customHeight="1">
      <c r="A100" s="4"/>
      <c r="B100" s="5"/>
      <c r="C100" s="5"/>
      <c r="D100" s="7"/>
      <c r="E100" s="6" t="str">
        <f t="shared" si="2"/>
        <v/>
      </c>
      <c r="F100" s="4"/>
      <c r="G100" s="1"/>
      <c r="H100" s="4"/>
    </row>
    <row r="101" spans="1:8" ht="23.1" customHeight="1">
      <c r="A101" s="4"/>
      <c r="B101" s="5"/>
      <c r="C101" s="5"/>
      <c r="D101" s="7"/>
      <c r="E101" s="6" t="str">
        <f t="shared" si="2"/>
        <v/>
      </c>
      <c r="F101" s="4"/>
      <c r="G101" s="1"/>
      <c r="H101" s="4"/>
    </row>
    <row r="102" spans="1:8" ht="23.1" customHeight="1">
      <c r="A102" s="4"/>
      <c r="B102" s="5"/>
      <c r="C102" s="5"/>
      <c r="D102" s="7"/>
      <c r="E102" s="6" t="str">
        <f t="shared" si="2"/>
        <v/>
      </c>
      <c r="F102" s="4"/>
      <c r="G102" s="1"/>
      <c r="H102" s="4"/>
    </row>
    <row r="103" spans="1:8" ht="23.1" customHeight="1">
      <c r="A103" s="4"/>
      <c r="B103" s="5"/>
      <c r="C103" s="5"/>
      <c r="D103" s="7"/>
      <c r="E103" s="6" t="str">
        <f t="shared" si="2"/>
        <v/>
      </c>
      <c r="F103" s="4"/>
      <c r="G103" s="1"/>
      <c r="H103" s="4"/>
    </row>
    <row r="104" spans="1:8" ht="23.1" customHeight="1">
      <c r="A104" s="4"/>
      <c r="B104" s="5"/>
      <c r="C104" s="5"/>
      <c r="D104" s="7"/>
      <c r="E104" s="6" t="str">
        <f t="shared" ref="E104:E135" si="3">IF(A104="","",IF(COUNT(B104:D104)&lt;3,"Pending",B104+C104*D104))</f>
        <v/>
      </c>
      <c r="F104" s="4"/>
      <c r="G104" s="1"/>
      <c r="H104" s="4"/>
    </row>
    <row r="105" spans="1:8" ht="23.1" customHeight="1">
      <c r="A105" s="4"/>
      <c r="B105" s="5"/>
      <c r="C105" s="5"/>
      <c r="D105" s="7"/>
      <c r="E105" s="6" t="str">
        <f t="shared" si="3"/>
        <v/>
      </c>
      <c r="F105" s="4"/>
      <c r="G105" s="1"/>
      <c r="H105" s="4"/>
    </row>
    <row r="106" spans="1:8" ht="23.1" customHeight="1">
      <c r="A106" s="4"/>
      <c r="B106" s="5"/>
      <c r="C106" s="5"/>
      <c r="D106" s="7"/>
      <c r="E106" s="6" t="str">
        <f t="shared" si="3"/>
        <v/>
      </c>
      <c r="F106" s="4"/>
      <c r="G106" s="1"/>
      <c r="H106" s="4"/>
    </row>
    <row r="107" spans="1:8" ht="23.1" customHeight="1">
      <c r="A107" s="4"/>
      <c r="B107" s="5"/>
      <c r="C107" s="5"/>
      <c r="D107" s="7"/>
      <c r="E107" s="6" t="str">
        <f t="shared" si="3"/>
        <v/>
      </c>
      <c r="F107" s="4"/>
      <c r="G107" s="1"/>
      <c r="H1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Switch Matrix</vt:lpstr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Black</cp:lastModifiedBy>
  <dcterms:modified xsi:type="dcterms:W3CDTF">2026-10-16T19:06:02Z</dcterms:modified>
</cp:coreProperties>
</file>